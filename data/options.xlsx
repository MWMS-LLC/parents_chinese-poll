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MWMS\parents_chinese1230\data\"/>
    </mc:Choice>
  </mc:AlternateContent>
  <xr:revisionPtr revIDLastSave="0" documentId="8_{E89FD73A-33FC-43B5-8786-CE6026E8D435}" xr6:coauthVersionLast="47" xr6:coauthVersionMax="47" xr10:uidLastSave="{00000000-0000-0000-0000-000000000000}"/>
  <bookViews>
    <workbookView xWindow="-120" yWindow="-120" windowWidth="29040" windowHeight="15720" xr2:uid="{3982E27F-DC31-4756-BB6F-B09E97D20A0F}"/>
  </bookViews>
  <sheets>
    <sheet name="options" sheetId="6" r:id="rId1"/>
    <sheet name="1. 成功与人生目标" sheetId="1" r:id="rId2"/>
    <sheet name="2. 心理健康趋势" sheetId="3" r:id="rId3"/>
    <sheet name="3. 亲子沟通" sheetId="2" r:id="rId4"/>
    <sheet name="4. 了解与面对歧视" sheetId="4" r:id="rId5"/>
    <sheet name="5. 父母的幸福感与自我认识" sheetId="5" r:id="rId6"/>
  </sheets>
  <definedNames>
    <definedName name="_xlnm._FilterDatabase" localSheetId="1" hidden="1">'1. 成功与人生目标'!$A$1:$R$1</definedName>
    <definedName name="_xlnm._FilterDatabase" localSheetId="2" hidden="1">'2. 心理健康趋势'!$A$1:$R$27</definedName>
    <definedName name="_xlnm._FilterDatabase" localSheetId="3" hidden="1">'3. 亲子沟通'!$A$1:$R$64</definedName>
    <definedName name="_xlnm._FilterDatabase" localSheetId="4" hidden="1">'4. 了解与面对歧视'!$A$1:$R$14</definedName>
    <definedName name="_xlnm._FilterDatabase" localSheetId="0" hidden="1">options!$A$1:$R$137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6" l="1"/>
  <c r="L14" i="6" s="1"/>
  <c r="F13" i="6"/>
  <c r="L13" i="6" s="1"/>
  <c r="F12" i="6"/>
  <c r="L12" i="6" s="1"/>
  <c r="F11" i="6"/>
  <c r="L11" i="6" s="1"/>
  <c r="F10" i="6"/>
  <c r="L10" i="6" s="1"/>
  <c r="F9" i="6"/>
  <c r="L9" i="6" s="1"/>
  <c r="F8" i="6"/>
  <c r="L8" i="6" s="1"/>
  <c r="F7" i="6"/>
  <c r="L7" i="6" s="1"/>
  <c r="F6" i="6"/>
  <c r="L6" i="6" s="1"/>
  <c r="F5" i="6"/>
  <c r="L5" i="6" s="1"/>
  <c r="F4" i="6"/>
  <c r="L4" i="6" s="1"/>
  <c r="F3" i="6"/>
  <c r="L3" i="6" s="1"/>
  <c r="F2" i="6"/>
  <c r="L2" i="6" s="1"/>
  <c r="F48" i="6"/>
  <c r="L48" i="6" s="1"/>
  <c r="F49" i="6"/>
  <c r="L49" i="6" s="1"/>
  <c r="F50" i="6"/>
  <c r="L50" i="6" s="1"/>
  <c r="F51" i="6"/>
  <c r="L51" i="6" s="1"/>
  <c r="F52" i="6"/>
  <c r="L52" i="6" s="1"/>
  <c r="F53" i="6"/>
  <c r="L53" i="6" s="1"/>
  <c r="F54" i="6"/>
  <c r="L54" i="6" s="1"/>
  <c r="F55" i="6"/>
  <c r="L55" i="6" s="1"/>
  <c r="F56" i="6"/>
  <c r="L56" i="6" s="1"/>
  <c r="F57" i="6"/>
  <c r="L57" i="6" s="1"/>
  <c r="F58" i="6"/>
  <c r="L58" i="6" s="1"/>
  <c r="F59" i="6"/>
  <c r="L59" i="6" s="1"/>
  <c r="F60" i="6"/>
  <c r="L60" i="6" s="1"/>
  <c r="F61" i="6"/>
  <c r="L61" i="6" s="1"/>
  <c r="F62" i="6"/>
  <c r="L62" i="6" s="1"/>
  <c r="F63" i="6"/>
  <c r="L63" i="6" s="1"/>
  <c r="F64" i="6"/>
  <c r="L64" i="6" s="1"/>
  <c r="F65" i="6"/>
  <c r="L65" i="6" s="1"/>
  <c r="F66" i="6"/>
  <c r="L66" i="6" s="1"/>
  <c r="F67" i="6"/>
  <c r="L67" i="6" s="1"/>
  <c r="F68" i="6"/>
  <c r="L68" i="6" s="1"/>
  <c r="F69" i="6"/>
  <c r="L69" i="6" s="1"/>
  <c r="F70" i="6"/>
  <c r="L70" i="6" s="1"/>
  <c r="F71" i="6"/>
  <c r="L71" i="6" s="1"/>
  <c r="F72" i="6"/>
  <c r="L72" i="6" s="1"/>
  <c r="F73" i="6"/>
  <c r="L73" i="6" s="1"/>
  <c r="F74" i="6"/>
  <c r="L74" i="6" s="1"/>
  <c r="F75" i="6"/>
  <c r="L75" i="6" s="1"/>
  <c r="F76" i="6"/>
  <c r="L76" i="6" s="1"/>
  <c r="F77" i="6"/>
  <c r="L77" i="6" s="1"/>
  <c r="F78" i="6"/>
  <c r="L78" i="6" s="1"/>
  <c r="F79" i="6"/>
  <c r="L79" i="6" s="1"/>
  <c r="F80" i="6"/>
  <c r="L80" i="6" s="1"/>
  <c r="F81" i="6"/>
  <c r="L81" i="6" s="1"/>
  <c r="F82" i="6"/>
  <c r="L82" i="6" s="1"/>
  <c r="F83" i="6"/>
  <c r="L83" i="6" s="1"/>
  <c r="F84" i="6"/>
  <c r="L84" i="6" s="1"/>
  <c r="F85" i="6"/>
  <c r="L85" i="6" s="1"/>
  <c r="F86" i="6"/>
  <c r="L86" i="6" s="1"/>
  <c r="F87" i="6"/>
  <c r="L87" i="6" s="1"/>
  <c r="F88" i="6"/>
  <c r="L88" i="6" s="1"/>
  <c r="F89" i="6"/>
  <c r="L89" i="6" s="1"/>
  <c r="F90" i="6"/>
  <c r="L90" i="6" s="1"/>
  <c r="F91" i="6"/>
  <c r="L91" i="6" s="1"/>
  <c r="F92" i="6"/>
  <c r="L92" i="6" s="1"/>
  <c r="F93" i="6"/>
  <c r="L93" i="6" s="1"/>
  <c r="F94" i="6"/>
  <c r="L94" i="6" s="1"/>
  <c r="F95" i="6"/>
  <c r="L95" i="6" s="1"/>
  <c r="F96" i="6"/>
  <c r="L96" i="6" s="1"/>
  <c r="F97" i="6"/>
  <c r="L97" i="6" s="1"/>
  <c r="F98" i="6"/>
  <c r="L98" i="6" s="1"/>
  <c r="F99" i="6"/>
  <c r="L99" i="6" s="1"/>
  <c r="F100" i="6"/>
  <c r="L100" i="6" s="1"/>
  <c r="F101" i="6"/>
  <c r="L101" i="6" s="1"/>
  <c r="F102" i="6"/>
  <c r="L102" i="6" s="1"/>
  <c r="F103" i="6"/>
  <c r="L103" i="6" s="1"/>
  <c r="F104" i="6"/>
  <c r="L104" i="6" s="1"/>
  <c r="F105" i="6"/>
  <c r="L105" i="6" s="1"/>
  <c r="F106" i="6"/>
  <c r="L106" i="6" s="1"/>
  <c r="F107" i="6"/>
  <c r="L107" i="6" s="1"/>
  <c r="F108" i="6"/>
  <c r="L108" i="6" s="1"/>
  <c r="F109" i="6"/>
  <c r="L109" i="6" s="1"/>
  <c r="F110" i="6"/>
  <c r="L110" i="6" s="1"/>
  <c r="F111" i="6"/>
  <c r="L111" i="6" s="1"/>
  <c r="F112" i="6"/>
  <c r="L112" i="6" s="1"/>
  <c r="F113" i="6"/>
  <c r="L113" i="6" s="1"/>
  <c r="F114" i="6"/>
  <c r="L114" i="6" s="1"/>
  <c r="F115" i="6"/>
  <c r="L115" i="6" s="1"/>
  <c r="F116" i="6"/>
  <c r="L116" i="6" s="1"/>
  <c r="F117" i="6"/>
  <c r="L117" i="6" s="1"/>
  <c r="F118" i="6"/>
  <c r="L118" i="6" s="1"/>
  <c r="F119" i="6"/>
  <c r="L119" i="6" s="1"/>
  <c r="F120" i="6"/>
  <c r="L120" i="6" s="1"/>
  <c r="F121" i="6"/>
  <c r="L121" i="6" s="1"/>
  <c r="F122" i="6"/>
  <c r="L122" i="6" s="1"/>
  <c r="F123" i="6"/>
  <c r="L123" i="6" s="1"/>
  <c r="F124" i="6"/>
  <c r="L124" i="6" s="1"/>
  <c r="F125" i="6"/>
  <c r="L125" i="6" s="1"/>
  <c r="F126" i="6"/>
  <c r="L126" i="6" s="1"/>
  <c r="F127" i="6"/>
  <c r="L127" i="6" s="1"/>
  <c r="F128" i="6"/>
  <c r="L128" i="6" s="1"/>
  <c r="F129" i="6"/>
  <c r="L129" i="6" s="1"/>
  <c r="F130" i="6"/>
  <c r="L130" i="6" s="1"/>
  <c r="F131" i="6"/>
  <c r="L131" i="6" s="1"/>
  <c r="F132" i="6"/>
  <c r="L132" i="6" s="1"/>
  <c r="F133" i="6"/>
  <c r="L133" i="6" s="1"/>
  <c r="F134" i="6"/>
  <c r="L134" i="6" s="1"/>
  <c r="F135" i="6"/>
  <c r="L135" i="6" s="1"/>
  <c r="F136" i="6"/>
  <c r="L136" i="6" s="1"/>
  <c r="F137" i="6"/>
  <c r="L137" i="6" s="1"/>
  <c r="F14" i="1"/>
  <c r="L14" i="1" s="1"/>
  <c r="F13" i="1"/>
  <c r="L13" i="1" s="1"/>
  <c r="F12" i="1"/>
  <c r="L12" i="1" s="1"/>
  <c r="F11" i="1"/>
  <c r="L11" i="1" s="1"/>
  <c r="F10" i="1"/>
  <c r="L10" i="1" s="1"/>
  <c r="F9" i="1"/>
  <c r="L9" i="1" s="1"/>
  <c r="F8" i="1"/>
  <c r="L8" i="1" s="1"/>
  <c r="F7" i="1"/>
  <c r="L7" i="1" s="1"/>
  <c r="F6" i="1"/>
  <c r="L6" i="1" s="1"/>
  <c r="F5" i="1"/>
  <c r="L5" i="1" s="1"/>
  <c r="F4" i="1"/>
  <c r="L4" i="1" s="1"/>
  <c r="F3" i="1"/>
  <c r="L3" i="1" s="1"/>
  <c r="F2" i="1"/>
  <c r="L2" i="1" s="1"/>
</calcChain>
</file>

<file path=xl/sharedStrings.xml><?xml version="1.0" encoding="utf-8"?>
<sst xmlns="http://schemas.openxmlformats.org/spreadsheetml/2006/main" count="2179" uniqueCount="545">
  <si>
    <t>id</t>
  </si>
  <si>
    <t>category_id</t>
  </si>
  <si>
    <t>category_name</t>
  </si>
  <si>
    <t>block_number</t>
  </si>
  <si>
    <t>block_text</t>
  </si>
  <si>
    <t>question_code</t>
  </si>
  <si>
    <t>question_number</t>
  </si>
  <si>
    <t>question_text</t>
  </si>
  <si>
    <t>check_box</t>
  </si>
  <si>
    <t>max_select</t>
  </si>
  <si>
    <t>option_select</t>
  </si>
  <si>
    <t>option_code</t>
  </si>
  <si>
    <t>option_text</t>
  </si>
  <si>
    <t>response_message</t>
  </si>
  <si>
    <t>companion_advice</t>
  </si>
  <si>
    <t>tone_tag</t>
  </si>
  <si>
    <t>next_question_id</t>
  </si>
  <si>
    <t>version</t>
  </si>
  <si>
    <t>您认为衡量孩子人生成功的最重要标准是？(请最多选择三项)</t>
  </si>
  <si>
    <t>A</t>
  </si>
  <si>
    <t xml:space="preserve"> 学业/职业成就</t>
  </si>
  <si>
    <t>B</t>
  </si>
  <si>
    <t xml:space="preserve"> 经济收入水平</t>
  </si>
  <si>
    <t>C</t>
  </si>
  <si>
    <t xml:space="preserve"> 社会地位与人脉</t>
  </si>
  <si>
    <t>D</t>
  </si>
  <si>
    <t xml:space="preserve"> 家庭幸福与健康</t>
  </si>
  <si>
    <t>E</t>
  </si>
  <si>
    <t xml:space="preserve"> 自我实现与兴趣发展</t>
  </si>
  <si>
    <t>F</t>
  </si>
  <si>
    <t xml:space="preserve"> 对社会/族群的贡献</t>
  </si>
  <si>
    <t>OTHER</t>
  </si>
  <si>
    <t>其他</t>
  </si>
  <si>
    <t>上藤校</t>
  </si>
  <si>
    <t>希望孩子进入顶尖大学是许多家长心中的理想。</t>
  </si>
  <si>
    <t>名校确实提供资源，但成功也取决于孩子的兴趣、心理健康、性格和社会技能。
探讨"藤校光环"与真实教育需求的平衡
分享成功人士的多元教育路径案例
提醒关注心理健康成本（如"斯坦福鸭子综合症"）
 同时留出时间培养兴趣爱好，让学业与心理健康并行。</t>
  </si>
  <si>
    <t>进入科技行业</t>
  </si>
  <si>
    <t>看重科技行业的前景和稳定性是现实而务实的想法。</t>
  </si>
  <si>
    <t>科技行业前景好，但竞争激烈。帮助孩子培养跨领域能力可以让他们在变化中保持竞争力。鼓励他们在学习技术的同时，发展沟通与团队合作能力——这是职场晋升的隐形门票。多与行业朋友分享趋势，帮孩子看到职业发展的多种路径。</t>
  </si>
  <si>
    <t>重视稳定与社会地位是很多父母的共识。</t>
  </si>
  <si>
    <t>让孩子找到热爱的领域并全力投入</t>
  </si>
  <si>
    <t>您拒绝被单一成功标准束缚，这种豁达的人生态度能给孩子宝贵的成长空间。您认可兴趣驱动的力量，这有助于孩子形成内在动力。</t>
  </si>
  <si>
    <t>鼓励孩子探索不同领域，帮助他们将热情与职业前景结合。陪孩子一起探索资源与人脉，减少他们在非传统道路上的孤立感。在鼓励自由的同时，也帮助他们建立基本的财务与生活规划能力。
分享"激情发展曲线"理论（兴趣需要持续培养）
建议"试错期"的资源支持方式
讨论如何辨别短暂兴趣与长期热情</t>
  </si>
  <si>
    <t>不追求特定公式，顺其自然</t>
  </si>
  <si>
    <t>您尊重孩子的独立选择，这为他们提供了自由发展的空间。</t>
  </si>
  <si>
    <t>在给予自由的同时，提供必要的资源与指导，帮助他们在关键时刻做出明智决策。帮助他们建立基本的财务与生活规划能力。
探讨"积极不干预"与必要引导的平衡
分享"意外机遇理论"（Serendipity）的案例
建议建立基础能力底线（如情绪管理、学习能力）</t>
  </si>
  <si>
    <t>您认为孩子的学业成功“公式”是什么？(请最多选择两项)</t>
  </si>
  <si>
    <t>读医学院或法学院</t>
  </si>
  <si>
    <t>A  非常了解</t>
  </si>
  <si>
    <t>您的非常了解证明了您对孩子的心理健康的关注，这对给与他们及时的支持很重要。</t>
  </si>
  <si>
    <t>可以更多地关注孩子的情绪变化，并主动与他们交流，帮助他们感觉自己不是孤单的。</t>
  </si>
  <si>
    <t>B  略有了解</t>
  </si>
  <si>
    <t>已经开始注意到这个问题为您更深入地了解和帮助孩子打下了基础。</t>
  </si>
  <si>
    <t>通过学校、社区活动或可靠的新闻渠道了解更多情况会让您的支持更有针对性。</t>
  </si>
  <si>
    <t>C  不了解</t>
  </si>
  <si>
    <t>诚实地表达自己不了解的状态是开始关注的第一步。</t>
  </si>
  <si>
    <t xml:space="preserve">建议了解一下青少年的心理健康现状的报道，这有助于理解孩子的行为和压力来源。
</t>
  </si>
  <si>
    <t>A  种族歧视</t>
  </si>
  <si>
    <t>家长选择来美创业是因为在国内听到的都是在美奋斗成功的故事。但种族的不同有时会使孩子们感觉低人一等。这确实是一个让人感到孤立和无助的经历。</t>
  </si>
  <si>
    <t>B  学业和家长期望的压力</t>
  </si>
  <si>
    <t>我们来美国就是为了吃苦创业，为了孩子们能有机会奋斗，能有更好的生活和未来。可是学业和家庭的高期望确实会让人喘不过气，感到焦虑甚至抑郁。</t>
  </si>
  <si>
    <t>告诉孩子，“你并不是一个人，很多青少年都在面对类似的压力。”在鼓励努力的同时，也让孩子知道，休息和兴趣也是成功的重要组成部分。 帮助设定合理的学业目标，并与家长沟通真实感受。
练习放松技巧（如正念、深呼吸）缓解焦虑。</t>
  </si>
  <si>
    <t>C  美国文化冲击</t>
  </si>
  <si>
    <t>孩子们在美国的学校和美国的孩子们在一起会更深入地接触到美国文化， 感觉到与家里的文化之不同。在两种文化之间找到平衡确实不容易，这种冲突可能会让人感到迷茫。</t>
  </si>
  <si>
    <t>帮助孩子理解文化差异，找到中间的平衡点。 探索双文化身份的优势（如双语能力、多元视角）。
寻找亚裔青少年社群，分享经验并获得支持。</t>
  </si>
  <si>
    <t>D  分心（社交媒体、电子游戏等）</t>
  </si>
  <si>
    <t>分心（社交媒体、电子游戏等）会占用很多时间，影响学习。 更难达到家长为他们制定的雄伟目标。</t>
  </si>
  <si>
    <t>与孩子一起制定使用社交媒体和娱乐的健康时间表。同时促使孩子在学业中找到兴趣。 设定健康的屏幕时间限制，培养线下兴趣爱好。
讨论如何辨别网络内容的负面影响（如外貌焦虑、网络暴力）。</t>
  </si>
  <si>
    <t>E  性格脆弱 / 自私</t>
  </si>
  <si>
    <t>我们在国内崇拜的都是英雄伟人吃苦创业的光辉伟继。而美国则比中国更侧重个人感觉。与我们吃苦耐劳的精神似乎格格不入。很多人误以为抑郁是自私或脆弱，但其实它和身体生病一样需要关注和治疗。</t>
  </si>
  <si>
    <t>可以帮助孩子提升心理韧性，同时耐心理解他们的感受。
科普心理健康知识，减少自我污名化。
强调寻求帮助是勇敢的表现，而非软弱。</t>
  </si>
  <si>
    <t>A  学业成绩</t>
  </si>
  <si>
    <t>在关注成绩的同时，留意孩子的学习兴趣和成就感来源。讨论如何平衡学业与心理健康（如设定合理目标、避免过度比较）。
分享“成长型思维”教育方式（努力比成绩更重要）。</t>
  </si>
  <si>
    <t>B  朋友和社交圈的影响</t>
  </si>
  <si>
    <t>您关心孩子的交友情况，担心他们受不良影响，这是父母很常见的顾虑。
青春期的朋友确实会对孩子的价值观产生很大影响，您的担忧是合理的。</t>
  </si>
  <si>
    <t>C  校园安全</t>
  </si>
  <si>
    <t>校园暴力、枪击等新闻让家长不安，您希望孩子在一个安全的环境学习，这种担忧完全可以理解。
安全是基本需求，您的焦虑反映了对孩子深深的爱。</t>
  </si>
  <si>
    <t>与学校沟通安全措施（如反霸凌政策、紧急演练）。
教孩子基本的自我保护意识（如遇到危险如何反应）。</t>
  </si>
  <si>
    <t>D  种族歧视</t>
  </si>
  <si>
    <t>作为亚裔家长，您可能担心孩子遭遇不公平对待，这种顾虑非常真实。
种族歧视确实存在，您想保护孩子免受伤害的心情让人感同身受。反移民政策会影响孩子们在美国的将来。</t>
  </si>
  <si>
    <t>E  心理健康</t>
  </si>
  <si>
    <t>您意识到心理健康的重要性，担心孩子情绪压力大，这种关注非常明智。
现在青少年抑郁高发，您的警觉体现了对孩子的全面关心。
我们认为咬紧牙关是对付痛苦的最有效的办法。而美国则主张认识情绪，表达情绪，沟通情绪。我们却缺乏与情绪有关的技巧。</t>
  </si>
  <si>
    <t>F  就业前景</t>
  </si>
  <si>
    <t>您希望孩子未来有稳定的职业，在经济不确定的时代，这种担忧很常见。
就业市场竞争激烈，父母难免会为孩子的前途焦虑。
由于AI的发展，第一份工作越来越难找。即便有了工作，稳定性也很难预测。当家长的难免操心。</t>
  </si>
  <si>
    <t>鼓励孩子探索兴趣与技能，而非盲目追求“热门专业”。
了解新兴行业趋势，保持开放心态（如远程工作、AI相关领域）。帮助孩子了解不同职业的路径和未来趋势。参加义工和 summer internship 获取经验。 
一起探索不同的职业路径和可能性。可参考aptitude test result。  用纪录片、访谈等展示多元职业（如电竞解说、AI伦理师、海洋塑料回收创业者）。
工具推荐：BBC《未来职业》（The Future of Work）、LinkedIn新兴职业报告。</t>
  </si>
  <si>
    <t>如果您的孩子被哈佛录取的同时心理医生诊断孩子有抑郁倾向，您会认为：</t>
  </si>
  <si>
    <t xml:space="preserve"> 青春期情绪波动很正常，不必大惊小怪</t>
  </si>
  <si>
    <t>您能保持冷静看待孩子的情绪变化，这种镇定很难得。
确实，青春期情绪起伏比成年人大很多。</t>
  </si>
  <si>
    <t>不过哈佛医学院研究发现，青春期抑郁症状持续2周以上就需要专业评估。
我们可以做个简单测试区分正常波动和抑郁症状：如果孩子出现...（列举具体症状）</t>
  </si>
  <si>
    <t xml:space="preserve"> 这是暂时的适应期压力，挺过去就成长了</t>
  </si>
  <si>
    <t>您相信挫折能磨练孩子韧性，这种长远眼光非常可贵。确实，适度压力能促进成长。</t>
  </si>
  <si>
    <t>补充数据：
但哈佛校方数据显示，25%新生因‘必须完美’的预期导致抑郁恶化。我们可以区分‘成长型压力’和‘毒性压力’。
替代方案：
是否考虑延迟入学1年？哈佛允许gap year治疗，康复后入学成功率反而提高33%（来源：哈佛健康中心）。</t>
  </si>
  <si>
    <t xml:space="preserve"> 先把offer接了，暑假再治疗</t>
  </si>
  <si>
    <t>您想兼顾学业机会和健康，这个平衡考虑很周全。
来之不易的offer确实需要慎重对待。</t>
  </si>
  <si>
    <t>研究表明，带着抑郁症状入学的学生，第一年退学率高达43%。
建议可以先接受offer，但同时做三件事：
立即开始每周心理咨询
联系学校残疾学生服务中心备案
制定详细的健康管理计划</t>
  </si>
  <si>
    <t xml:space="preserve"> 抑郁药会影响记忆力，绝对不能吃</t>
  </si>
  <si>
    <t>您担心药物副作用影响学习，这种顾虑完全可以理解。
很多家长都有类似的药物担忧。</t>
  </si>
  <si>
    <t xml:space="preserve"> 抑郁可以治愈，文凭改变阶层</t>
  </si>
  <si>
    <t xml:space="preserve"> 短期痛苦换终生优势，值得</t>
  </si>
  <si>
    <t xml:space="preserve"> 比起底层劳动者的痛苦，这算什么</t>
  </si>
  <si>
    <t>如果孩子离梦校只差一步（如SAT1580/国际奥赛银牌），但已出现失眠、自残倾向，您会如何认为？</t>
  </si>
  <si>
    <t xml:space="preserve"> 最后冲刺阶段都这样，考完就好了</t>
  </si>
  <si>
    <t>生理代价：持续高压会导致海马体暂时萎缩15-20%，可能造成永久性记忆损伤（Nature Neuroscience）
数据事实：在冲刺阶段出现自残倾向的学生，6个月内发展成重度抑郁的概率高达68%（JAMA Psychiatry）</t>
  </si>
  <si>
    <t xml:space="preserve"> 先瞒着心理问题把申请交了，录取后再治疗</t>
  </si>
  <si>
    <t>美国TOP30大学申请表中均有心理健康史披露条款，隐瞒可能导致：
录取撤销（如哈佛2022年撤销3名隐瞒抑郁史新生）
丧失校内心理服务资格</t>
  </si>
  <si>
    <t xml:space="preserve"> 名校光环比暂时情绪重要，</t>
  </si>
  <si>
    <t>追踪数据：强行入学的抑郁学生：
毕业5年后失业率比健康同学高3.2倍
薪资水平反而低17%（斯坦福职业发展中心）</t>
  </si>
  <si>
    <t xml:space="preserve"> 我当年比你苦十倍，你有什么资格喊累</t>
  </si>
  <si>
    <t xml:space="preserve"> 现在的孩子太脆弱，我们当年…</t>
  </si>
  <si>
    <t>✅ 时空对比法：
"我们当年的‘苦’主要是__（物质匮乏），你们现在的‘苦’是__（信息过载）。就像比较黑白电视和智能手机——虽然不同，但都需要适应。"
✅ 创伤代际对话：
"爷爷奶奶当年也说我们不如他们能吃苦，看来每代人都会经历这种误解。我当时不喜欢他们的批评，所以我现在也不应该这样批评你。如果你愿意的话，告诉我你的困难，看我能不能帮助你。"</t>
  </si>
  <si>
    <t>看看Lucas，为什么他的数学那么好？</t>
  </si>
  <si>
    <t>您是否知道当前青少年，特别是亚裔青少年中抑郁的高发趋势？</t>
  </si>
  <si>
    <t>您认为造成青少年抑郁的主要原因是什么？（可任选多项）</t>
  </si>
  <si>
    <t>您最担心孩子未来的哪方面？（可任选多项）</t>
  </si>
  <si>
    <t>当孩子抱怨压力大时，您是否说过：（可任选多项）</t>
  </si>
  <si>
    <t>改进方案：
✅ 情感连接话术：
"我听到你真的很难受（共情）。我们那个年代的苦是__（具体举例），你们现在要面对的是__（如社交媒体焦虑），都不容易（认可）。咱们一起想想解决办法吗？（合作）"</t>
  </si>
  <si>
    <t>你不是冷酷。你只是太熟悉“忍”。你走过的路，风大、灯暗、没人问你累不累。你能站到今天，全靠咬牙。
所以当孩子喊累，你的第一反应不是否定——而是本能地把他们往你活过来的那条路上推。
那句话背后，其实是这层意思：“我熬过来了，你也要能活下去。”
这是保护，不是攻击。只是用了你那一代唯一学会的语言。
你不是不心疼。你只是还没被心疼过。
问题是：
代际创伤传递：比较式否定会让孩子产生"痛苦奥林匹克"心理（认为自己的感受不被认可）
神经科学证据：当孩子被否定时，大脑前额叶皮质活动下降40%（fMRI研究），实际降低抗压能力</t>
  </si>
  <si>
    <t>你不是看不起孩子。你是在为这个世界的“变软”感到不安。
你活在一个不允许脆弱的年代：情绪是奢侈品，撑不住就被淘汰。所以你学会了一个生存逻辑：硬一点，才能活久一点。
当你说“他们太脆弱”，真正浮上来的往往是一个更深的担忧：“如果他们这样，将来怎么扛得住？”
那不是指责，是恐慌。是一个见过风暴的人，担心孩子没有盔甲。
问题是：迷走神经反应：这种比较会立即触发孩子的防御状态，使心率提升25-40bpm</t>
  </si>
  <si>
    <t>A. 学业</t>
  </si>
  <si>
    <t>在讨论成绩时，也鼓励他们分享学习中的成就感和兴趣点。</t>
  </si>
  <si>
    <t>B. 朋友关系</t>
  </si>
  <si>
    <t>C. 爱情关系</t>
  </si>
  <si>
    <t>最好用支持和倾听代替直接否定，让他们感到被理解。尤其是在恋爱失败时，给与他们亲切的关怀和爱护，勉励他们牢记自己的价值和本质上的追求。 鼓励参加多元活动（社团、志愿工作），增加认识人的机会。</t>
  </si>
  <si>
    <t>D. 工作或未来职业</t>
  </si>
  <si>
    <t>一起探索不同的职业路径和可能性。可参考aptitude test result。  用纪录片、访谈等展示多元职业（如电竞解说、AI伦理师、海洋塑料回收创业者）。
工具推荐：BBC《未来职业》（The Future of Work）、LinkedIn新兴职业报告。</t>
  </si>
  <si>
    <t>E. 社交媒体</t>
  </si>
  <si>
    <t>引导他们分辨线上与线下的真实差异，减少不必要的比较。</t>
  </si>
  <si>
    <t xml:space="preserve">A  </t>
  </si>
  <si>
    <t>A. 经常一起</t>
  </si>
  <si>
    <t>可以利用晚餐时间聊一些轻松的话题，增强彼此的情感联系。餐桌对话能丰富孩子的词汇量，学习倾听、表达及餐桌礼仪。 研究表明，规律家庭晚餐的孩子更少出现抑郁、焦虑或行为问题，可能与情感支持有关。</t>
  </si>
  <si>
    <t>B. 偶尔一起</t>
  </si>
  <si>
    <t>C. 几乎不一起</t>
  </si>
  <si>
    <t>晚餐时间往往是家人一天中难得的共处时刻，分享当天的经历、烦恼或趣事，能增进彼此的理解和亲密感。 如果晚餐不可能，可以利用其他时间聊一些轻松的话题，增强彼此的情感联系。对话能丰富孩子的词汇量，学习倾听、表达及餐桌礼仪。 研究表明，规律家庭晚餐的孩子更少出现抑郁、焦虑或行为问题，可能与情感支持有关。 即使时间短，也可以利用其他零碎时间与孩子交流，比如早餐或睡前。</t>
  </si>
  <si>
    <t>A. 讨论学校或工作的事情</t>
  </si>
  <si>
    <t>学校和工作的不顺心容易引发争执。可以聊聊兴趣、新闻或趣事，减少压力感。比如：  
1. 轻松愉快的日常话题
“今天有什么有趣的事情发生吗？”（鼓励每个人分享一天的小确幸）
“今天学到/发现了什么新东西？”（适合孩子，也能让大人分享新鲜事）
“如果今天可以重来一次，你会改变哪件事？”（引导反思和幽默讨论）
2. 回忆与故事类
“你们小时候最喜欢的家庭晚餐是什么？”（让长辈分享回忆，孩子了解家庭历史）
“我们家最搞笑的一次聚餐是哪次？”（唤起欢乐记忆）
“你遇到过最奇怪的/最美味的食物是什么？”（适合喜欢美食的家庭）
3. 未来与想象类
“周末/假期最想一起做什么？”（规划家庭活动，增强期待感）
“如果明天可以变成任何一种动物，你会选什么？为什么？”（适合孩子，激发想象力）
“十年后，你觉得我们家会是什么样子？”（有趣又带点哲思）
4. 趣味互动类
“如果只能吃一种食物一辈子，你会选什么？”（引发热烈讨论）
“用三个词形容今天的感受！”（简短又能了解彼此情绪）
“玩‘猜猜我在想什么’游戏！”（一人描述，其他人猜，适合孩子）
5. 教育与社会话题（适合大孩子或成人较多的家庭）
“如果你能解决世界上一个问题，会选什么？”（培养孩子的社会意识）
“最近看到的一条有意思的新闻是什么？”（避免争议性话题，保持轻松）
“你觉得‘幸福’是什么？”（促进深度交流）
6. 感恩与赞赏
“今天谁帮助了你？或者你想感谢谁？”（培养感恩心态）
“我觉得你最近做得特别棒的一件事是……”（互相鼓励）
小技巧
让孩子主导话题：问问他们最想聊什么。
幽默一点：比如“如果我们的宠物会说话，它会对我们说什么？”
轮流发言：确保每个人都有机会表达。
关键不是话题本身，而是营造一个开放、温暖的交流环境。即使只是聊聊“今天的土豆丝为什么特别好吃”，也能让晚餐成为一天中最温馨的时刻。 😊</t>
  </si>
  <si>
    <t>B. 漫天闲聊</t>
  </si>
  <si>
    <t>继续保持这种互动，可以增加一些趣味性或回忆性的对话。比如：
1. 轻松愉快的日常话题
“今天有什么有趣的事情发生吗？”（鼓励每个人分享一天的小确幸）
“今天学到/发现了什么新东西？”（适合孩子，也能让大人分享新鲜事）
“如果今天可以重来一次，你会改变哪件事？”（引导反思和幽默讨论）
2. 回忆与故事类
“你们小时候最喜欢的家庭晚餐是什么？”（让长辈分享回忆，孩子了解家庭历史）
“我们家最搞笑的一次聚餐是哪次？”（唤起欢乐记忆）
“你遇到过最奇怪的/最美味的食物是什么？”（适合喜欢美食的家庭）
3. 未来与想象类
“周末/假期最想一起做什么？”（规划家庭活动，增强期待感）
“如果明天可以变成任何一种动物，你会选什么？为什么？”（适合孩子，激发想象力）
“十年后，你觉得我们家会是什么样子？”（有趣又带点哲思）
4. 趣味互动类
“如果只能吃一种食物一辈子，你会选什么？”（引发热烈讨论）
“用三个词形容今天的感受！”（简短又能了解彼此情绪）
“玩‘猜猜我在想什么’游戏！”（一人描述，其他人猜，适合孩子）
5. 教育与社会话题（适合大孩子或成人较多的家庭）
“如果你能解决世界上一个问题，会选什么？”（培养孩子的社会意识）
“最近看到的一条有意思的新闻是什么？”（避免争议性话题，保持轻松）
“你觉得‘幸福’是什么？”（促进深度交流）
6. 感恩与赞赏
“今天谁帮助了你？或者你想感谢谁？”（培养感恩心态）
“我觉得你最近做得特别棒的一件事是……”（互相鼓励）
小技巧
让孩子主导话题：问问他们最想聊什么。
幽默一点：比如“如果我们的宠物会说话，它会对我们说什么？”
轮流发言：确保每个人都有机会表达。
关键不是话题本身，而是营造一个开放、温暖的交流环境。即使只是聊聊“今天的土豆丝为什么特别好吃”，也能让晚餐成为一天中最温馨的时刻。 😊</t>
  </si>
  <si>
    <t>C. 看手机</t>
  </si>
  <si>
    <t>解决方案：全家签订"晚餐公约"，例如：
✅ 前15分钟绝对无手机
✅ 第一个主动聊天的人获得奖励（如决定饭后甜点）</t>
  </si>
  <si>
    <t>D. 保持安静</t>
  </si>
  <si>
    <t>但可能错失情感交流机会，孩子社交能力锻炼不足，长期易形成疏离感。如果希望既保持餐桌礼仪又不失温情，可以尝试：
分段式晚餐：前10分钟安静吃饭，后10分钟轻聊今日趣事。
设立“话题时间”：每周选几天专门讨论一个轻松主题（避免敏感问题）。
非语言互动：通过分享食物（如夹菜）、微笑等传递关心。
可以聊聊兴趣、新闻或趣事，减少压力感。比如：  
1. 轻松愉快的日常话题
“今天有什么有趣的事情发生吗？”（鼓励每个人分享一天的小确幸）
“今天学到/发现了什么新东西？”（适合孩子，也能让大人分享新鲜事）
“如果今天可以重来一次，你会改变哪件事？”（引导反思和幽默讨论）
2. 回忆与故事类
“你们小时候最喜欢的家庭晚餐是什么？”（让长辈分享回忆，孩子了解家庭历史）
“我们家最搞笑的一次聚餐是哪次？”（唤起欢乐记忆）
“你遇到过最奇怪的/最美味的食物是什么？”（适合喜欢美食的家庭）
3. 未来与想象类
“周末/假期最想一起做什么？”（规划家庭活动，增强期待感）
“如果明天可以变成任何一种动物，你会选什么？为什么？”（适合孩子，激发想象力）
“十年后，你觉得我们家会是什么样子？”（有趣又带点哲思）
4. 趣味互动类
“如果只能吃一种食物一辈子，你会选什么？”（引发热烈讨论）
“用三个词形容今天的感受！”（简短又能了解彼此情绪）
“玩‘猜猜我在想什么’游戏！”（一人描述，其他人猜，适合孩子）
5. 教育与社会话题（适合大孩子或成人较多的家庭）
“如果你能解决世界上一个问题，会选什么？”（培养孩子的社会意识）
“最近看到的一条有意思的新闻是什么？”（避免争议性话题，保持轻松）
“你觉得‘幸福’是什么？”（促进深度交流）
6. 感恩与赞赏
“今天谁帮助了你？或者你想感谢谁？”（培养感恩心态）
“我觉得你最近做得特别棒的一件事是……”（互相鼓励）
小技巧
让孩子主导话题：问问他们最想聊什么。
幽默一点：比如“如果我们的宠物会说话，它会对我们说什么？”
轮流发言：确保每个人都有机会表达。
关键不是话题本身，而是营造一个开放、温暖的交流环境。即使只是聊聊“今天的土豆丝为什么特别好吃”，也能让晚餐成为一天中最温馨的时刻。 😊</t>
  </si>
  <si>
    <t>孩子会多久向您报告一次担忧或烦恼？</t>
  </si>
  <si>
    <t>A.  经常</t>
  </si>
  <si>
    <t>保持这种开放的沟通环境，即使在您不同意他们的观点时，也先倾听。</t>
  </si>
  <si>
    <t>B. 偶尔</t>
  </si>
  <si>
    <t>可以在日常中多创造一些轻松的交流机会，比如散步或做饭时聊天。</t>
  </si>
  <si>
    <t>C. 从不</t>
  </si>
  <si>
    <t>避免在他们主动开口时立刻评价或批评，让他们感到安全再多分享。</t>
  </si>
  <si>
    <t>当孩子向您分享烦恼时，您通常会怎么做？</t>
  </si>
  <si>
    <t>A.  先听，不给建议.  只有被问到时才给建议</t>
  </si>
  <si>
    <t>孩子在讲述中可以感觉到家长的全神贯注。在安全地表达情感的同时，他们可以清理思路，常常自己找到方法解决自己的问题。同时对家长更加信任。在合适的时机，可以用开放式提问帮助他们自己找到解决方法。</t>
  </si>
  <si>
    <t>以温和方式表明您随时在他们需要时提供支持。比如：
躯体化接纳（先拥抱/握手，降低皮质醇水平）
情绪命名术（"你现在的感觉像被暴雨困住的小鸟吗？"）
共同探索（"我们来看看这个情绪想告诉我们什么"）</t>
  </si>
  <si>
    <t>C.  立即寻找原因并给与建议</t>
  </si>
  <si>
    <t>先全力倾听，确认接受他们的感受，再提供建议，这样更容易被接受。 当孩子说"妈妈我难受"时，最好的回应不是立刻解决问题，而是"谢谢你和我说，我们一起看看这个难受长什么样子".  回忆自己童年情绪处理方式，写下"最希望当时父母怎么说"。</t>
  </si>
  <si>
    <t>孩子是否会主动与您谈论心理压力？</t>
  </si>
  <si>
    <t>A.  经常会</t>
  </si>
  <si>
    <t>继续保持开放态度，确保他们知道您的接纳没有条件。</t>
  </si>
  <si>
    <t>B.  偶尔会</t>
  </si>
  <si>
    <t>通过日常小对话增加安全感，逐步延长交流的深度和频率。</t>
  </si>
  <si>
    <t>C.  几乎不会</t>
  </si>
  <si>
    <t>回忆自己童年情绪处理方式，写下"最希望当时父母怎么说"。尝试用间接方式（如共同活动）打破沉默，再慢慢过渡到敏感话题。</t>
  </si>
  <si>
    <t>在沟通心理健康时，您倾向于哪种态度？</t>
  </si>
  <si>
    <t>A. 完全开放</t>
  </si>
  <si>
    <t>在开放的同时，也保护孩子的隐私不被他人过度介入。</t>
  </si>
  <si>
    <t>B. 有限开放</t>
  </si>
  <si>
    <t>逐渐扩大讨论范围，让孩子适应并接受心理健康的正常化。</t>
  </si>
  <si>
    <t>C. 较为保守</t>
  </si>
  <si>
    <t>先从小话题切入（如日常压力），再引导到更核心的问题。</t>
  </si>
  <si>
    <t>当孩子拒绝沟通时，您会怎么做？</t>
  </si>
  <si>
    <t>A. 等待他们准备好</t>
  </si>
  <si>
    <t>保持日常联系，让他们知道您一直在他们的身边爱护他们。  比如： 固定30分钟不带电子产品的散步/拼图时间，不主动提问，允许「舒适的沉默。 沉默可以成为亲子间最深邃的对话方式，只要其中流淌着未被言说的理解。</t>
  </si>
  <si>
    <t>B. 尝试换个方式</t>
  </si>
  <si>
    <t>使用非正面交谈（边走边聊、做饭时聊）减少压力感。 有时最有力量的连接，恰恰发生在无言并肩看夕阳的时刻。</t>
  </si>
  <si>
    <t>C. 直接要求他们沟通</t>
  </si>
  <si>
    <t>在坚持的同时，用温和语言表达您的关心，而不是命令口吻。 不说「你必须现在说」，改为：
「妈妈看出你现在不想说话，我们15分钟后再试试好吗？」
这期间家长做平静活动（洗碗/看书），示范情绪调节</t>
  </si>
  <si>
    <t>如果孩子出现抑郁迹象，您会采取什么方式应对？</t>
  </si>
  <si>
    <t>A. 立即寻求专业帮助</t>
  </si>
  <si>
    <t>保留紧急联系方式（心理医生、危机热线）以便随时行动。</t>
  </si>
  <si>
    <t>B. 先在家中观察</t>
  </si>
  <si>
    <t>C. 与孩子深入谈心</t>
  </si>
  <si>
    <t>您的孩子最常与您谈论哪些方面？(可任选多项）</t>
  </si>
  <si>
    <t>您全家一起吃晚饭吗？</t>
  </si>
  <si>
    <t>您认为您的孩子在生活中会遇到种族歧视吗？</t>
  </si>
  <si>
    <t>A. 经常。</t>
  </si>
  <si>
    <t>A. 您留意并重视孩子所面临的不公平对待。但不知如何帮助孩子。</t>
  </si>
  <si>
    <t>B. 您意识到孩子可能会经历不公平的情况。</t>
  </si>
  <si>
    <t>警惕「平静假象」：
❗ 可能是孩子隐瞒（62%青少年不向父母报告歧视）
❗ 隐性歧视尚未被识别（如教师对作业的差异化要求）</t>
  </si>
  <si>
    <t>D. 不确定</t>
  </si>
  <si>
    <t>您愿意承认自己对这一问题的未知。</t>
  </si>
  <si>
    <t>您是否认为种族歧视会影响青少年的心理健康？</t>
  </si>
  <si>
    <t>A  会，而且影响很大</t>
  </si>
  <si>
    <t>您能看到种族歧视带来的深层次影响，这有助于您更好地理解孩子的感受。</t>
  </si>
  <si>
    <t>B  会，但影响不算大</t>
  </si>
  <si>
    <t>您承认它的存在，但认为影响有限，这种理性分析有助于客观看待问题。</t>
  </si>
  <si>
    <t>C  不会</t>
  </si>
  <si>
    <t>您对孩子的适应能力有信心。</t>
  </si>
  <si>
    <t>也可以和孩子聊聊他们的校园经历，确保他们确实没有因为背景而感到被排斥。</t>
  </si>
  <si>
    <t>您认为谈论歧视对孩子的影响是？</t>
  </si>
  <si>
    <t>A. 让他们更有力量</t>
  </si>
  <si>
    <t>您相信公开讨论能增强孩子的应对能力。
作用原理：
✅ 提供认知框架：将模糊的不适感明确为「歧视现象」，减少自我怀疑
✅ 增强控制感：知晓应对策略后，前额叶皮层激活度提升37%（《发展心理学》2023）
✅ 建立心理同盟：知道父母是共同面对者，催产素分泌增加</t>
  </si>
  <si>
    <t>继续鼓励这种开放交流，并结合具体案例帮助孩子学习应对策略。
强化策略：
「工具箱谈话」：每次讨论都附带1个具体应对技巧（如幽默反击模板）
榜样案例库：定期讲述本族裔对抗歧视的历史人物故事
谈论歧视如同接种疫苗——适量病原体（事实）+免疫训练（应对）才能产生抗体。完全回避话题只会让孩子在真实遭遇时毫无心理准备。
（最高明的歧视教育，是让孩子既能看见世界的裂痕，又不失去拥抱它的勇气——这需要家长同时担任真相的传递者和希望的守护者。）</t>
  </si>
  <si>
    <t>B. 让他们更敏感，反而受伤</t>
  </si>
  <si>
    <t xml:space="preserve">您担心过度关注会带来负面影响。
风险成因：
🔸 过早接触超出认知处理能力的内容（如6岁前详细描述暴力歧视）
🔸 谈话中「威胁感」＞「掌控感」（过度强调危险而非应对）又怕认真探讨会成为“小题大做“。
</t>
  </si>
  <si>
    <t>C. 影响不大</t>
  </si>
  <si>
    <t>您认为讨论不会显著改变孩子的感受。
潜在问题：
❗ 可能反映亲子信任缺失（孩子不愿分享真实感受）
❗ 教育方式抽象化（仅理论讨论缺乏情感连接）</t>
  </si>
  <si>
    <t>“努力学习、不理会歧视”这种方法现在还有效吗？</t>
  </si>
  <si>
    <t>有效</t>
  </si>
  <si>
    <t>你相信专注自身成长可以超越外界偏见，这种坚韧的态度值得尊重。
很多成功人士正是靠这种‘屏蔽噪音’的方式突破困境，你的观点有现实依据。</t>
  </si>
  <si>
    <t>同时关注孩子的情绪状态和心理健康可以帮助他们正面应对种族不公平待遇。不过，完全‘不理会’有时会压抑情绪，是否考虑过结合心理调节技巧？
在努力的同时，建立支持系统（如信任的朋友、导师）可能让这条路更可持续。</t>
  </si>
  <si>
    <t>无效</t>
  </si>
  <si>
    <t>您清醒地看到了现实的变化和挑战。
你意识到单靠个人努力无法消除系统性偏见，这种清醒的认知很重要。
歧视是真实存在的伤害，要求受害者‘不去理会’本身就不公平。</t>
  </si>
  <si>
    <t>建议探索新的应对方式，既保护孩子的心理健康，也不放弃追求成功。除了心理调适，是否想过用集体行动对抗歧视？比如参与亚裔权益组织。
将愤怒转化为创造力（写作、艺术等）也是很多人的疗愈方式。</t>
  </si>
  <si>
    <t>做父母时，您最主要的感受是？</t>
  </si>
  <si>
    <t>A. 喜悦</t>
  </si>
  <si>
    <t>每天记录1个「微小时刻」，强化积极神经回路。与孩子分享这种感受，增进彼此的亲密感。</t>
  </si>
  <si>
    <t>B. 责任</t>
  </si>
  <si>
    <t>责任感源于进化本能——人类幼崽极度依赖养育者。感到"重任在肩"说明您认真对待父母角色。</t>
  </si>
  <si>
    <t>C. 负担</t>
  </si>
  <si>
    <t>每周划定2小时「自我充电时间」（哪怕只是泡澡），这不是奢侈，而是养育可持续性的必需。适时寻求帮助，减轻精神和体力负担。与年龄适当的孩子平静地沟通这些感受，让他们更理解您的心境。</t>
  </si>
  <si>
    <t>现实中的养育是否符合您当父母之前的想象？</t>
  </si>
  <si>
    <t>A. 完全一致</t>
  </si>
  <si>
    <t>仅少数父母（通常有大量育儿实践经验）会感到一致，这反映两种可能：
✅ 高度适应性人格：能快速调整预期适应现实
✅ 养育环境高度可控：如有强力家庭支持系统</t>
  </si>
  <si>
    <t>保持良好状态，继续享受亲子时光。</t>
  </si>
  <si>
    <t>B. 比想象好</t>
  </si>
  <si>
    <t>常见于以下情况：
孩子天生性情温顺/适应力强
父母原本对育儿有灾难化想象（如受恐育言论影响）
产后获得超预期支持（配偶参与度/经济保障）</t>
  </si>
  <si>
    <t>记录这些幸福瞬间，作为日后鼓励自己的力量。</t>
  </si>
  <si>
    <t>C. 比想象得要困难多了。</t>
  </si>
  <si>
    <t>您诚实地阐明了大多数家长面对的育儿的挑战。
神经科学原因：育儿压力激活大脑岛叶（负责痛苦感知），而预期主要依赖前额叶（逻辑推理）
社会文化因素：主流叙事常美化养育，回避讨论孤立感、重复琐碎性等真相
意义：这种「觉醒式痛苦」往往是父母深度成长的催化剂。</t>
  </si>
  <si>
    <t>回顾过去，您觉得自己当父母时准备充分吗？</t>
  </si>
  <si>
    <t>A. 是</t>
  </si>
  <si>
    <t>典型特征：
✅ 系统学习过青春期脑科学（如《青春期的脑》）
✅ 建立弹性规则（如「周末屏幕时间可浮动1小时」）
✅ 拥有「外挂大脑」：定期咨询青少年心理咨询师</t>
  </si>
  <si>
    <t>升级建议：
开展「反向指导」：邀请孩子教你新事物（如短视频创作），重建平等对话
预防「过度准备」焦虑：接受30%的失控是青春期的正常阈值</t>
  </si>
  <si>
    <t>B. 否</t>
  </si>
  <si>
    <t>A. 来自配偶的支持</t>
  </si>
  <si>
    <t>黄金标准：
✅ 情感支持（"我懂你的疲惫"）
✅ 操作支持（主动承担固定育儿任务）
✅ 决策支持（重大事项共同商议）
父母在养育孩子的理念和做法上保持一致，这种一致是其他支持无法替代的。</t>
  </si>
  <si>
    <t>继续保持互相沟通和分担的习惯，让孩子感受到家庭的稳定感。</t>
  </si>
  <si>
    <t>B. 来自其他家人的支持</t>
  </si>
  <si>
    <t>幸运。能从家庭网络得到支持。</t>
  </si>
  <si>
    <t>孩子看到这种帮助，可以体会到大家庭的温暖。
代际协作陷阱：
❗ 祖辈介入导致教育理念冲突（如宠溺vs规矩）
❗ 「帮忙」变成「干涉」（如指责妈妈喂养方式）
智慧应对：
设立清晰边界："我们负责教育，您负责宠爱"
技能转化：将祖辈优势项目化（如「奶奶厨房课」每周1次）</t>
  </si>
  <si>
    <t>C. 来自朋友或社区的支持</t>
  </si>
  <si>
    <t>远亲不如近邻。
现代养育的救生圈：
🔹 非评判性倾听（比家人更少情感绑架）
🔹 资源互通（ride, dinner club）</t>
  </si>
  <si>
    <t>加入3个类型不同的社群：
同阶段父母群（即时问题解决）
兴趣社群（如烘焙/徒步，维持自我身份）
专业支持群（如自闭症儿童家长协会）鼓励孩子建立自己的支持网络，增加安全感和幸福感。</t>
  </si>
  <si>
    <t>D. 几乎没有支持</t>
  </si>
  <si>
    <t>坚强。独自承担这么多的责任！</t>
  </si>
  <si>
    <t xml:space="preserve">紧急自救方案：
外包可替代劳动：优先用有限资金购买清洁/做饭服务（时间比金钱稀缺）
建立「虚拟支持」：
✅ 关注「心理学家的育儿笔记」等优质自媒体
✅ 使用AI育儿助手（如ChatGPT制定膳食计划）
微型喘息计划：每天锁定30分钟「绝对自我时间」（如洗澡时听播客）
</t>
  </si>
  <si>
    <t>自己作为父母，有足够的支持吗？(请最多选择两项)</t>
  </si>
  <si>
    <t>A. 强烈的不耐烦，感觉时间被浪费了</t>
  </si>
  <si>
    <t>B. 一种隐约的焦虑，担心再这样下去孩子的前途会出大问题</t>
  </si>
  <si>
    <t>C.我能觉察到情绪，但还能稳住自己</t>
  </si>
  <si>
    <t>D. 希望能了解孩子内心的感觉</t>
  </si>
  <si>
    <t>A. 事情会不会失控、被别人看到会 丢人现眼。</t>
  </si>
  <si>
    <t>C. 自己的身体反应（心跳、紧绷、烦躁）</t>
  </si>
  <si>
    <t>D. 孩子此刻到底在害怕什么</t>
  </si>
  <si>
    <t>A. 我从小就没有被允许慢下来， 所以我对自己也同样苛刻</t>
  </si>
  <si>
    <t>B. 我习惯用效率来对抗不安， 我害怕一旦放松，事情会变糟</t>
  </si>
  <si>
    <t>C. 我不知道如何表现耐心</t>
  </si>
  <si>
    <t>D. 我已经意识到这一点，并在练习调整</t>
  </si>
  <si>
    <t>A. 作为移民来说，我觉得我的恐惧是不可避免的。</t>
  </si>
  <si>
    <t>B. 合理化：不这样孩子不行</t>
  </si>
  <si>
    <t>C. 暂停一下，哪怕只有几秒，深呼吸。</t>
  </si>
  <si>
    <t>D. 试图分辨恐惧与现实威胁</t>
  </si>
  <si>
    <t>B. 一种在安全感出现时自然产生的状态</t>
  </si>
  <si>
    <t>C. 一种可以由练习而产生的能力</t>
  </si>
  <si>
    <t>D. 我已经在慢慢体会它的不同层次</t>
  </si>
  <si>
    <t>A. 一种我很少拥有的资源，尤其在孩子不配合时，耐心对我来说几乎不存在。</t>
  </si>
  <si>
    <t>A.  爸妈这么辛苦都是为了你</t>
  </si>
  <si>
    <t xml:space="preserve"> B. 你知道补习班花了我多少年薪吗？</t>
  </si>
  <si>
    <t>C.  要不是为你，我早离婚/回国/创业了</t>
  </si>
  <si>
    <t>A. 对中国家长来说，学业最重要。没有好成绩就上不了好大学。就没有好工作。</t>
  </si>
  <si>
    <t>B. 在美国，许多青少年都感到孤独。健康的友谊对孩子们很重要。</t>
  </si>
  <si>
    <t>C. 家长可能希望孩子注重学业。“书中有女颜如玉”。作为少数民族，尤其是男孩子在美国，数据显示恋爱是一个新的挑战。</t>
  </si>
  <si>
    <t>D. 学校的职业教育很少。能使孩子们越早越多地接触各种职业会及时开阔他们的眼界，找到自己的兴趣。</t>
  </si>
  <si>
    <t>E. 研究证明社交媒体是导致心理受伤的一大原因。</t>
  </si>
  <si>
    <t xml:space="preserve">A. 晚餐时间往往是家人一天中难得的共处时刻，分享当天的经历、烦恼或趣事，能增进彼此的理解和亲密感。 </t>
  </si>
  <si>
    <t>B. 即使不常，但您还是努力创造共同的用餐时间。</t>
  </si>
  <si>
    <t>C. 您坦诚地反映了家庭时间的现实情况。</t>
  </si>
  <si>
    <t>A. 学校和工作是您最关心的话题。</t>
  </si>
  <si>
    <t>B. 您已经在做对孩子和全家最有利的活动：利用晚餐时间聊一些轻松的话题，增强彼此的情感联系。餐桌对话能丰富孩子的词汇量，学习倾听、表达及餐桌礼仪。</t>
  </si>
  <si>
    <t>C. 担心错过工作消息、社交动态或新闻，算法的刻意设计， 习惯性分心， 家庭动态影响等因素，使我们习惯性地吃饭时看手机。</t>
  </si>
  <si>
    <t>D. 保持安静可以培养专注吃饭的习惯， 减少无意义争吵， 适合高压后放松。</t>
  </si>
  <si>
    <t>A. 孩子愿意与您分享，这说明他们信任您。</t>
  </si>
  <si>
    <t>B. 有时他们会告诉您，这说明您与他们的沟通渠道并未关闭。</t>
  </si>
  <si>
    <t>C. 您坦诚地表达了现状，这是改善沟通的第一步。</t>
  </si>
  <si>
    <t>A. 您给他们一个安全的环境，专心倾听孩子的倾诉。不插嘴。不分析。不给与没有要求的劝告是建立信任的重要基础。</t>
  </si>
  <si>
    <t>B. 您可能担心打扰或激怒孩子。</t>
  </si>
  <si>
    <t>C. 您的出发点是想帮助他们解决问题， 防止他们在负情绪上滞留。</t>
  </si>
  <si>
    <t>A. 您与孩子建立了较高的信任度。</t>
  </si>
  <si>
    <t>B. 孩子在某些情况下愿意向您倾诉。</t>
  </si>
  <si>
    <t>C. 您可能面临沟通壁垒，这并不罕见。您也可能认为谈论会助长情绪，感觉变成现实。</t>
  </si>
  <si>
    <t>A. 您相信透明能增强信任。</t>
  </si>
  <si>
    <t>B. 您在保护孩子的同时，逐步探索更深的对话。</t>
  </si>
  <si>
    <t>C. 您的顾虑可能来自文化或成长背景。</t>
  </si>
  <si>
    <t>A. 您尊重孩子的节奏。</t>
  </si>
  <si>
    <t>B. 您灵活调整方法以接近孩子。</t>
  </si>
  <si>
    <t>C. 您希望尽快解决问题。</t>
  </si>
  <si>
    <t>A. 紧张的不只是孩子，还有家庭在外界眼中的“安全”。</t>
  </si>
  <si>
    <t>B. 理智在评估，情绪却已经升级。</t>
  </si>
  <si>
    <t>C. 身体先一步察觉到危险。</t>
  </si>
  <si>
    <t>D. 觉察开始接管方向盘。</t>
  </si>
  <si>
    <t>B. 是它不那么被需要的时候。</t>
  </si>
  <si>
    <t>如果被好好倾听，这也是孩子逐渐理解友谊是否健康、以及自己需要什么样的边界的过程</t>
  </si>
  <si>
    <t>您是否说过以下的话？（可任选多项）</t>
  </si>
  <si>
    <t>但心理杀伤力报告：
短期：引发「存在性愧疚」，孩子大脑默认模式网络活跃度↑28%（Nature子刊）
长期：导致「报恩型人格」，成年后选择职业时优先考虑父母期望而非自身兴趣的概率↑53%
三步重构法：
承认事实："爸妈确实工作辛苦（客观描述）"
切割责任："但这是我们的人生选择，不是你的负担"
正向联结："你通过认真生活就是对父母最好的回报"</t>
  </si>
  <si>
    <t>每提及1次「教育花费」，孩子：
学习愉悦感↓19%（北师大研究）
考试焦虑发作概率↑34%
对父母财务的过度关注度持续6-8周
让孩子参与预算决策（如"这笔钱补数学还是请体育私教？"）</t>
  </si>
  <si>
    <t>B. 这句话通常源于对孩子投入很多的现实压力。
父母希望孩子理解家庭的付出，但孩子有时会把这种提醒听成对自己的期待或负担。</t>
  </si>
  <si>
    <t>A。 这句话往往出自爱与责任。
父母希望孩子明白自己的付出，也希望这份付出能被珍惜。
有时，孩子在听到时，会同时感到被爱、也感到压力。</t>
  </si>
  <si>
    <t>但会导致孩子出现：
关系妄想（"我是家庭不幸的根源"）
假性成熟（被迫成为父母情绪配偶）
成年后亲密关系障碍率↑61%（《发展心理学》
责任边界声明：
"爸妈的婚姻/事业选择是我们自己的责任，与你无关。无论做什么决定，我们都会确保你的成长环境稳定。"
创伤预防话术：
"其实我们很感激你出现在生命里...（列举具体积极影响）。大人的困难需要大人自己解决。"</t>
  </si>
  <si>
    <t>C. 这类话往往是在情绪累积时说出的。
父母可能是在表达自己的牺牲与不容易，而孩子有时会因此感到内疚，或不知如何回应。</t>
  </si>
  <si>
    <t>当孩子动作慢、反复出错时，我内心最常出现的是：</t>
  </si>
  <si>
    <t>发病率与治疗缺口： 美国亚裔青少年重度抑郁未治疗率高达78%（2023年数据），居所有族裔之首。
自杀已成为15-24岁亚裔青少年的首要死因，远超交通事故等其他因素37。
性别差异： 亚裔女孩抑郁症状报告率是男孩的2.5倍，且更易伴随进食障碍（如神经性厌食症）
您是否知道当前青少年，特别是亚裔青少年中抑郁的高发趋势？</t>
  </si>
  <si>
    <t>当孩子情绪失控时，我更容易关注的是：</t>
  </si>
  <si>
    <t>D. 模式开始松动。值得欣慰。</t>
  </si>
  <si>
    <t>B. 忙和快，是我稳定自己的方式。为了孩子的心理健康，我们可以学新的方式。</t>
  </si>
  <si>
    <t>A. 这是学来的节奏，不是性格缺陷。为了孩子的心理健康，我们可以学新的方式。</t>
  </si>
  <si>
    <t>当我对孩子“没耐心”时，更接近真实的原因是：</t>
  </si>
  <si>
    <t>当我意识到自己是“恐惧驱动”而不是“爱驱动”时，我通常：</t>
  </si>
  <si>
    <t>A. 耐心不是随叫随到， 尤其是它最被需要的时候。
不幸的是，没有耐心的爱听起来不觉得像是爱。</t>
  </si>
  <si>
    <t>C. 可以从无到有。</t>
  </si>
  <si>
    <t>C. 系统第一次没有自动反应。是一项值得庆祝的成就。</t>
  </si>
  <si>
    <t>B. 理性在为恐惧找理由。结果可能得看运气了。不幸的是，往往达非所愿。</t>
  </si>
  <si>
    <t>在家庭中，“耐心”对我来说更像是：</t>
  </si>
  <si>
    <t>D. 不需要完美，只要进步不止就好。</t>
  </si>
  <si>
    <t>C. 情绪在，感谢理智还在努力工作。</t>
  </si>
  <si>
    <t xml:space="preserve">D. 爱能走在恐惧前面是亲子美好关系的展望。 </t>
  </si>
  <si>
    <t xml:space="preserve">静下心来想一下，耐心的结果可能比赛跑要快。 </t>
  </si>
  <si>
    <t xml:space="preserve">B. 这种担心往往不是针对当下，而是被未来牵着走。
想象中的风险，很容易让人感到紧张和不安。
</t>
  </si>
  <si>
    <t>很多研究和临床发现：大多数担忧最终并不会像想象中那样发生。
但是担心带来的恐慌和急躁会真正伤害亲子关系和孩子的兴趣及信心。</t>
  </si>
  <si>
    <t xml:space="preserve">A. 不是不关心，而是内心一直在和“来不及了”赛跑。
这种着急，往往比问题本身更先出现。
</t>
  </si>
  <si>
    <t>紧张往往会被外界放大。孩子的内心安全应该第一。</t>
  </si>
  <si>
    <t>B. 他们为什么这么情绪化？</t>
  </si>
  <si>
    <t>孩子还在学习如何理解处理情绪。家长的平静会对孩子的学习有正面影响。</t>
  </si>
  <si>
    <t>深呼吸。</t>
  </si>
  <si>
    <t>D. 注意力从“场面”转向“人”。会对孩子有正面影响。</t>
  </si>
  <si>
    <t>可以学习和锻炼。</t>
  </si>
  <si>
    <t>C. 爱在，但语言缺席。可能是文化和世代的差距。</t>
  </si>
  <si>
    <t>耐心</t>
  </si>
  <si>
    <t>日常连接</t>
  </si>
  <si>
    <t>沟通与回应</t>
  </si>
  <si>
    <t>无意说出口的话</t>
  </si>
  <si>
    <t>亲子沟通</t>
  </si>
  <si>
    <t>3_1</t>
  </si>
  <si>
    <t>3_2</t>
  </si>
  <si>
    <t>3_3</t>
  </si>
  <si>
    <t>3_4</t>
  </si>
  <si>
    <t>3_5</t>
  </si>
  <si>
    <t>3_6</t>
  </si>
  <si>
    <t>3_7</t>
  </si>
  <si>
    <t>3_8</t>
  </si>
  <si>
    <t>3_9</t>
  </si>
  <si>
    <t>3_10</t>
  </si>
  <si>
    <t>3_11</t>
  </si>
  <si>
    <t>3_12</t>
  </si>
  <si>
    <t>3_13</t>
  </si>
  <si>
    <t>3_14</t>
  </si>
  <si>
    <t>3_1_A</t>
  </si>
  <si>
    <t>3_1_B</t>
  </si>
  <si>
    <t>3_1_C</t>
  </si>
  <si>
    <t>3_1_D</t>
  </si>
  <si>
    <t>3_1_E</t>
  </si>
  <si>
    <t>3_1_OTHER</t>
  </si>
  <si>
    <t xml:space="preserve">3_2_A  </t>
  </si>
  <si>
    <t>3_2_B</t>
  </si>
  <si>
    <t>3_2_C</t>
  </si>
  <si>
    <t>3_3_A</t>
  </si>
  <si>
    <t>3_3_B</t>
  </si>
  <si>
    <t>3_3_C</t>
  </si>
  <si>
    <t>3_3_D</t>
  </si>
  <si>
    <t>3_3_OTHER</t>
  </si>
  <si>
    <t>3_4_A</t>
  </si>
  <si>
    <t>3_4_B</t>
  </si>
  <si>
    <t>3_4_C</t>
  </si>
  <si>
    <t>3_5_A</t>
  </si>
  <si>
    <t>3_5_B</t>
  </si>
  <si>
    <t>3_5_C</t>
  </si>
  <si>
    <t>3_5_OTHER</t>
  </si>
  <si>
    <t>3_6_A</t>
  </si>
  <si>
    <t>3_6_B</t>
  </si>
  <si>
    <t>3_6_C</t>
  </si>
  <si>
    <t>3_7_A</t>
  </si>
  <si>
    <t>3_7_B</t>
  </si>
  <si>
    <t>3_7_C</t>
  </si>
  <si>
    <t>3_8_A</t>
  </si>
  <si>
    <t>3_8_B</t>
  </si>
  <si>
    <t>3_8_C</t>
  </si>
  <si>
    <t>3_8_OTHER</t>
  </si>
  <si>
    <t>3_9_A</t>
  </si>
  <si>
    <t>3_9_B</t>
  </si>
  <si>
    <t>3_9_C</t>
  </si>
  <si>
    <t>3_9_OTHER</t>
  </si>
  <si>
    <t>3_10_A</t>
  </si>
  <si>
    <t>3_10_B</t>
  </si>
  <si>
    <t>3_10_C</t>
  </si>
  <si>
    <t>3_10_D</t>
  </si>
  <si>
    <t>3_10_OTHER</t>
  </si>
  <si>
    <t>3_11_A</t>
  </si>
  <si>
    <t>3_11_B</t>
  </si>
  <si>
    <t>3_11_C</t>
  </si>
  <si>
    <t>3_11_D</t>
  </si>
  <si>
    <t>3_11_OTHER</t>
  </si>
  <si>
    <t>3_12_A</t>
  </si>
  <si>
    <t>3_12_B</t>
  </si>
  <si>
    <t>3_12_C</t>
  </si>
  <si>
    <t>3_12_D</t>
  </si>
  <si>
    <t>3_12_OTHER</t>
  </si>
  <si>
    <t>3_13_A</t>
  </si>
  <si>
    <t>3_13_B</t>
  </si>
  <si>
    <t>3_13_C</t>
  </si>
  <si>
    <t>3_13_D</t>
  </si>
  <si>
    <t>3_13_OTHER</t>
  </si>
  <si>
    <t>3_14_A</t>
  </si>
  <si>
    <t>3_14_B</t>
  </si>
  <si>
    <t>3_14_C</t>
  </si>
  <si>
    <t>3_14_D</t>
  </si>
  <si>
    <t>3_14_OTHER</t>
  </si>
  <si>
    <t>了解与面对歧视</t>
  </si>
  <si>
    <t>4_1</t>
  </si>
  <si>
    <t>4_2</t>
  </si>
  <si>
    <t>4_3</t>
  </si>
  <si>
    <t>4_4</t>
  </si>
  <si>
    <t>4_1_A</t>
  </si>
  <si>
    <t>4_1_B</t>
  </si>
  <si>
    <t>4_1_C</t>
  </si>
  <si>
    <t>4_1_D</t>
  </si>
  <si>
    <t>4_2_A</t>
  </si>
  <si>
    <t>4_2_B</t>
  </si>
  <si>
    <t>4_2_C</t>
  </si>
  <si>
    <t>4_3_A</t>
  </si>
  <si>
    <t>4_3_B</t>
  </si>
  <si>
    <t>4_3_C</t>
  </si>
  <si>
    <t>4_3_OTHER</t>
  </si>
  <si>
    <t>4_4_A</t>
  </si>
  <si>
    <t>4_4_B</t>
  </si>
  <si>
    <t>您认为与孩子谈论歧视对他们的影响是:</t>
  </si>
  <si>
    <t>“努力学习、不理会歧视”这种应对方式，在现在的环境中是否仍然有效？</t>
  </si>
  <si>
    <t>成功与人生目标</t>
  </si>
  <si>
    <t>3_15</t>
  </si>
  <si>
    <t>心理健康趋势</t>
  </si>
  <si>
    <t>亚裔趋势</t>
  </si>
  <si>
    <t>亲子之忧</t>
  </si>
  <si>
    <t>藤校之念</t>
  </si>
  <si>
    <t>如何教导孩子</t>
  </si>
  <si>
    <t>为人父母之感受</t>
  </si>
  <si>
    <t>准备与支持</t>
  </si>
  <si>
    <t>为人父母</t>
  </si>
  <si>
    <t>医学之路漫长且压力大，建议在鼓励孩子的同时关注他们的心理和身体健康。关注孩子是否对医疗行业真有兴趣，而不仅是为了稳定和声望。 鼓励他们参与志愿或影子医生项目，感受真实的工作节奏与挑战。
法学院毕业不见得能找到高薪工作。入门职位面临更大的 AI 挑战。</t>
  </si>
  <si>
    <t>为孩子提供安全的倾诉环境，让他们知道遭遇不公时不是他们的错。鼓励表达情绪（如写日记、与信任的人交谈）。
在华人社区为他们找朋友和知己。推荐支持团体（如 UCA）或心理咨询，帮助应对歧视带来的心理影响。</t>
  </si>
  <si>
    <t>作为父母，您希望孩子学业优秀，未来有更多机会，这种担心是很自然的。
教育竞争激烈，您希望孩子不落后，这种压力我们都能理解。只有好的成绩才能上好大学，找好工作。</t>
  </si>
  <si>
    <t>鼓励开放沟通（如可以和孩子聊聊他们的朋友，不带批判地倾听）。
帮助孩子培养辨别力，而非直接禁止社交。</t>
  </si>
  <si>
    <t>帮助孩子建立文化自信（如了解亚裔历史、榜样故事）。
鼓励孩子表达遭遇，并知道如何寻求支持（如向学校报告歧视事件）。
与孩子分享您的经验和应对方式，让他们感到被理解和支持。同时在华人社区为他们找朋友和知己。推荐支持团体（如 UCA）或心理咨询，帮助应对歧视带来的心理影响。</t>
  </si>
  <si>
    <t>学习识别抑郁/焦虑的早期信号（如情绪低落、睡眠变化）。
减少对心理问题的污名化（如“心理和身体生病一样需要治疗”）。
鼓励孩子表达情绪，推荐支持团体（如 UCA），并在必要时寻求专业帮助。</t>
  </si>
  <si>
    <t>您对教育改变命运的信念有多人认同，确实藤校文凭能带来高终生收入。</t>
  </si>
  <si>
    <t>这种牺牲精神是华人家庭的独特力量。</t>
  </si>
  <si>
    <t>即使无法每日执行，也可设定"每周固定几天"的小目标。关键不在于形式完美，而是创造轻松开放的交流氛围——即使简单的面条，也能因共同欢笑而珍贵。
良好的亲子关系常常可以用几句话建立。</t>
  </si>
  <si>
    <t>晚餐时，大家最常在做什么？</t>
  </si>
  <si>
    <t>B.  保持距离，因为我不知如何应付。</t>
  </si>
  <si>
    <t>这是最安全决策。</t>
  </si>
  <si>
    <t>在华人文化中，心理问题往往被视为需要“扛过去”的阶段，因此是否走向专业帮助，常常伴随着复杂的情绪。对一些家庭来说，寻求专业帮助并不只是一个行动选择，而是一个心理上的确认步骤，这本身就需要时间和勇气。</t>
  </si>
  <si>
    <t>对很多家庭来说，先了解专业支持是什么、能做什么，本身就是重要的一步。</t>
  </si>
  <si>
    <t>您重视情感支持的力量。您希望通过亲密的对话，了解孩子正在经历什么，并给予支持。</t>
  </si>
  <si>
    <t>深入谈心很有价值，但并不等同于专业支持。在谈话中避免指责或过早给建议，先让他们充分表达。如果孩子的情绪低落持续存在，或影响到日常生活，仍需要考虑专业评估。</t>
  </si>
  <si>
    <t>为进入藤校所付出的长期心理健康成本，与藤校文凭可能带来的长远收益，二者孰轻孰重？</t>
  </si>
  <si>
    <t>但健康是收益的前提：终生收入的实现，依赖于持续的工作能力与决策质量。若海马体萎缩影响认知功能，或抑郁复发中断职业生涯，文凭的长期收益将大幅折损。真正的阶层跃升，是身心健康与学历资质的乘积，而非单一变量的赌博。</t>
  </si>
  <si>
    <t>“短期”可能覆盖整个黄金成长期：抑郁平均持续4.5年（NIMH），恰覆盖大学关键阶段。当压力从小学开始积累，所谓的“短期”实为贯穿发育期的长期损耗。
哈佛研究显示，亚裔学生需比白人同学GPA高0.5才能获得同等机会，但这恰恰说明系统不公不应由个体用健康超额支付。真正的力量，应用于寻找不竭泽而渔的可持续路径。</t>
  </si>
  <si>
    <t>您对底层困境的认知非常清醒，美国底层收入群体的日均压力指数明显超过高层收入群体。</t>
  </si>
  <si>
    <t>比较痛苦不如比价优化路径：真正的启示在于：成功道路本就多元（马云、黄仁勋皆非藤校出身）。若只因恐惧落入底层而盲目参与高压竞赛，可能恰恰在过程中损耗了那些比文凭更核心的创业魄力、创造力与心理韧性——而这些才是突破阶层的真正引擎。不要忘记：
马云：杭州师范 → 首富
黄仁勋：俄勒冈州立 → NVIDIA</t>
  </si>
  <si>
    <t xml:space="preserve">新一代抗抑郁药(如SSRIs)对记忆力的影响其实很小，反倒是未经治疗的抑郁会损伤海马体。
</t>
  </si>
  <si>
    <t>您的比较的目的不是为了证明他差，而是找到最短改进路径,就像华为对比苹果——找出可追赶的专利技术。
但哈佛研究显示，被横向比较的亚裔青少年：短期压力激素上升: 相当于连续熬夜2天的压力水平, 会导致海马体暂时性功能降低（影响记忆提取）。 长期亲子关系质量下降， 相当于孩子隐瞒事件的概率从上升。深度谈话时间下降。遇到困难首选求助父母的比例也大幅下降。</t>
  </si>
  <si>
    <t>如果需要讨论进步，更安全的参照往往是孩子自己的节奏，而不是他人的结果。比如，把注意力放在“现在和上一次相比有什么变化”，而不是“和谁相比”。</t>
  </si>
  <si>
    <t>A. 因为我们觉得无路可退。</t>
  </si>
  <si>
    <t>种族歧视的存在与影响</t>
  </si>
  <si>
    <t>与孩子保持开放的沟通，让他们知道您的支持和理解，并一起商量应对方法。比如：
证据档案：记录事件细节（时间/言论/见证人），形成可追溯模式
制度性应对：与学校建立「反歧视联系人」制度
加入民权组织（如美国ACLU）获取法律支持
心理铠甲训练：角色扮演应对场景（非对抗性回应模板："这句话让我感到..."）。 联络有关社区组织， 如 UCA WAVE。</t>
  </si>
  <si>
    <t>可以帮助孩子积累应对经验，让他们在遇到类似情况时更有信心。比如：
危机转化机会：
✅ 每次事件后开展「歧视认知工作坊」：
情绪处理（先确认感受："这确实不公平"）
归因分析（区分「偏见」与「无知」）
应对模拟（如幽默化解："不，我数学好不是因为亚洲血统，是因为每天练习"）
预防性建设：
培养「双重文化能力」：既精通本族文化，又掌握主流文化通行码
建立「榜样资料库」：收集同种族成功人士案例对抗刻板印象
联络有关社区组织， 如 UCA WAVE。</t>
  </si>
  <si>
    <t>即便如此，也可以和孩子聊聊歧视的存在与可能的应对方式。
前瞻性准备：
定期进行「歧视模拟游戏」：通过假设场景提高敏感度
植入「种族自豪感锚点」：
家谱研究项目
传统节日深度体验
联络有关社区组织， 如 UCA WAVE。</t>
  </si>
  <si>
    <t>可以多倾听孩子的经历，并主动留意他们可能没说出口的感受。
联络有关社区组织， 如 UCA WAVE。</t>
  </si>
  <si>
    <t>在日常生活中为孩子建立心理防护网，让他们知道遇到不公可以求助和表达。同时在华人社区为他们找朋友和知己，如 UCA WAVE。</t>
  </si>
  <si>
    <t>在保持积极心态的同时，也留意孩子可能在沉默中承受的情绪压力。
联络有关社区组织， 如 UCA WAVE。</t>
  </si>
  <si>
    <t>可以在保护情绪的同时，提供适度的信息和应对技巧。
修复方案：
情绪容器技术：先问「你准备好讨论这个了吗？」设定安全词暂停
渐进暴露法：
年龄	讨论深度
5-8岁	"有些人因外表不同被不公平对待"
9-12岁	分析广告中的刻板印象
13+	探讨系统性歧视政策
谈论歧视如同接种疫苗——适量病原体（事实）+免疫训练（应对）才能产生抗体。完全回避话题只会让孩子在真实遭遇时毫无心理准备。
（最高明的歧视教育，是让孩子既能看见世界的裂痕，又不失去拥抱它的勇气——这需要家长同时担任真相的传递者和希望的守护者。）
有关社区组织， 如 UCA WAVE ， 可提供更多的帮助。</t>
  </si>
  <si>
    <t>可以观察孩子在面对不公平时的反应，并根据需要调整交流方式。
激活方法：
「生活显微镜」练习：共同分析一周内接触的媒体/人际互动中的隐性歧视
跨种族友谊促进：实证研究显示，拥有3个以上跨种族好友的孩子歧视敏感度提升2倍
谈论歧视如同接种疫苗——适量病原体（事实）+免疫训练（应对）才能产生抗体。完全回避话题只会让孩子在真实遭遇时毫无心理准备。
（最有效的歧视教育，是让孩子既能看见世界的裂痕，又不失去拥抱它的勇气——这需要家长同时担任真相的传递者和希望的守护者。）</t>
  </si>
  <si>
    <t>5_1</t>
  </si>
  <si>
    <t>5_2</t>
  </si>
  <si>
    <t>5_3</t>
  </si>
  <si>
    <t>5_4</t>
  </si>
  <si>
    <t>5_1_A</t>
  </si>
  <si>
    <t>5_1_B</t>
  </si>
  <si>
    <t>5_1_C</t>
  </si>
  <si>
    <t>5_1_OTHER</t>
  </si>
  <si>
    <t>5_2_A</t>
  </si>
  <si>
    <t>5_2_B</t>
  </si>
  <si>
    <t>5_2_C</t>
  </si>
  <si>
    <t>5_3_A</t>
  </si>
  <si>
    <t>5_3_B</t>
  </si>
  <si>
    <t>5_4_A</t>
  </si>
  <si>
    <t>5_4_B</t>
  </si>
  <si>
    <t>5_4_C</t>
  </si>
  <si>
    <t>5_4_D</t>
  </si>
  <si>
    <t>5_4_OTHER</t>
  </si>
  <si>
    <t>从养育孩子中获得的幸福感是从其他任何地方都得不到的。孩子的笑容、成长里程碑带来的幸福感，是大脑对亲子联结的本能奖励（催产素分泌）。这种喜悦不需要刻意追求，它是生命延续的自然礼物。</t>
  </si>
  <si>
    <t>区分「有限责任」与「无限责任」：
✅ 必须提供的：安全、情感回应、基本教育
❌ 不必承担的：孩子每一次情绪的即时满足、所有需求的即时满足
在承担责任的同时，也留出时间享受与孩子的相处。与年龄适当的孩子平静地沟通这些感受，让他们更理解您的心境。</t>
  </si>
  <si>
    <t>养育儿女是24/7，永远担不完的心。长期睡眠剥夺+决策疲劳（从"吃什么"到"选什么学校"）确实会造成生理性耗竭。这不是自私，而是人类认知资源的客观限制。感到负担，并不否定爱本身。</t>
  </si>
  <si>
    <t xml:space="preserve">情绪要崩时：给自己5分钟暂停。离开一下，深呼吸，没关系。
放过自己：点外卖、衣服堆几天、家里乱一点都可以。生存模式不可耻。
不做完美父母：做到60分就很好，剩下的都是成长空间。
找到同类父母：和阶段相似的家庭聊聊真实感受，你会知道“不是我一个人”。
定期调整期待：每季度和伴侣或自己聊聊，哪些想象该放下，哪些新现实该接纳。
</t>
  </si>
  <si>
    <t>您的坦诚回应，正是负责任父母的开始。绝大多数家长在某个阶段都会感到‘准备不足’——这恰恰说明您意识到了育儿的深度与严肃性，并且愿意学习和调整。这种‘清醒的不安’，远比‘盲目的自信’更能引领您与孩子共同成长。</t>
  </si>
  <si>
    <t>① 学一点脑科学：知道孩子当前阶段为什么这样（如青春期就是爱冒险、情绪化）。
② 用「DEM沟通法」：
D 描述行为（不说教）
E 表达你的感受（不指责）
M 询问他的想法（不打断）
③ 每月只攻一个难关：比如早晨拖延、手机时间，和孩子一起想办法。
“养育孩子最大的回报，不是你塑造了他，而是他重塑了你。”
——那些让你头疼的时刻，正在让你变得更坚韧、更懂爱、更有智慧。</t>
  </si>
  <si>
    <t>2_1</t>
  </si>
  <si>
    <t>2_2</t>
  </si>
  <si>
    <t>2_3</t>
  </si>
  <si>
    <t>2_4</t>
  </si>
  <si>
    <t>2_5</t>
  </si>
  <si>
    <t>2_6</t>
  </si>
  <si>
    <t>2_1_A</t>
  </si>
  <si>
    <t>2_1_B</t>
  </si>
  <si>
    <t>2_1_C</t>
  </si>
  <si>
    <t>2_2_A</t>
  </si>
  <si>
    <t>2_2_B</t>
  </si>
  <si>
    <t>2_2_C</t>
  </si>
  <si>
    <t>2_2_D</t>
  </si>
  <si>
    <t>2_2_E</t>
  </si>
  <si>
    <t>2_2_OTHER</t>
  </si>
  <si>
    <t>2_3_A</t>
  </si>
  <si>
    <t>2_3_B</t>
  </si>
  <si>
    <t>2_3_C</t>
  </si>
  <si>
    <t>2_3_D</t>
  </si>
  <si>
    <t>2_3_E</t>
  </si>
  <si>
    <t>2_3_F</t>
  </si>
  <si>
    <t>2_3_OTHER</t>
  </si>
  <si>
    <t>2_7_A</t>
  </si>
  <si>
    <t>2_7_B</t>
  </si>
  <si>
    <t>2_7_C</t>
  </si>
  <si>
    <t>2_7_OTHER</t>
  </si>
  <si>
    <t>2_4_A</t>
  </si>
  <si>
    <t>2_4_B</t>
  </si>
  <si>
    <t>2_4_C</t>
  </si>
  <si>
    <t>2_4_D</t>
  </si>
  <si>
    <t>2_4_OTHER</t>
  </si>
  <si>
    <t>2_5_A</t>
  </si>
  <si>
    <t>2_5_B</t>
  </si>
  <si>
    <t>2_5_C</t>
  </si>
  <si>
    <t>2_5_OTHER</t>
  </si>
  <si>
    <t>2_6_A</t>
  </si>
  <si>
    <t>2_6_B</t>
  </si>
  <si>
    <t>2_6_C</t>
  </si>
  <si>
    <t>2_6_OTHER</t>
  </si>
  <si>
    <t>1_3</t>
  </si>
  <si>
    <t>忧虑</t>
  </si>
  <si>
    <t>人生目标</t>
  </si>
  <si>
    <t>学业成功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</si>
</sst>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theme="1"/>
      <name val="Calibri"/>
      <family val="2"/>
    </font>
    <font>
      <sz val="11"/>
      <color rgb="FF404040"/>
      <name val="Calibri"/>
      <family val="2"/>
    </font>
    <font>
      <sz val="11"/>
      <color theme="1"/>
      <name val="Segoe UI"/>
      <family val="2"/>
    </font>
    <font>
      <sz val="8"/>
      <name val="Aptos Narrow"/>
      <family val="2"/>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
    <xf numFmtId="0" fontId="0" fillId="0" borderId="0"/>
  </cellStyleXfs>
  <cellXfs count="20">
    <xf numFmtId="0" fontId="0" fillId="0" borderId="0" xfId="0"/>
    <xf numFmtId="0" fontId="0" fillId="0" borderId="0" xfId="0" applyAlignment="1">
      <alignment horizontal="left" vertical="center" wrapText="1"/>
    </xf>
    <xf numFmtId="0" fontId="0" fillId="0" borderId="0" xfId="0" applyAlignment="1">
      <alignmen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2" fillId="0" borderId="1" xfId="0" applyFont="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xf>
    <xf numFmtId="0" fontId="3" fillId="0" borderId="1" xfId="0" applyFont="1" applyBorder="1" applyAlignment="1">
      <alignment vertical="center" wrapText="1"/>
    </xf>
    <xf numFmtId="0" fontId="0" fillId="0" borderId="1" xfId="0" applyBorder="1" applyAlignment="1">
      <alignment horizontal="left" vertical="center" wrapText="1"/>
    </xf>
    <xf numFmtId="0" fontId="0" fillId="0" borderId="0" xfId="0" applyAlignment="1">
      <alignment vertical="center"/>
    </xf>
    <xf numFmtId="0" fontId="0" fillId="0" borderId="1" xfId="0" applyBorder="1" applyAlignment="1">
      <alignment wrapText="1"/>
    </xf>
    <xf numFmtId="0" fontId="0" fillId="0" borderId="1" xfId="0" applyBorder="1" applyAlignment="1">
      <alignment horizontal="left" vertical="center"/>
    </xf>
    <xf numFmtId="0" fontId="0" fillId="0" borderId="1" xfId="0" applyBorder="1" applyAlignment="1">
      <alignment vertical="center"/>
    </xf>
    <xf numFmtId="0" fontId="0" fillId="0" borderId="1"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60608-6C4B-4845-89CB-6736A886E595}">
  <sheetPr filterMode="1"/>
  <dimension ref="A1:R137"/>
  <sheetViews>
    <sheetView tabSelected="1" zoomScaleNormal="100" workbookViewId="0">
      <pane ySplit="1" topLeftCell="A2" activePane="bottomLeft" state="frozen"/>
      <selection pane="bottomLeft" activeCell="H15" sqref="H15"/>
    </sheetView>
  </sheetViews>
  <sheetFormatPr defaultRowHeight="15" x14ac:dyDescent="0.25"/>
  <cols>
    <col min="1" max="1" width="9.140625" style="18"/>
    <col min="2" max="2" width="9.42578125" style="18" customWidth="1"/>
    <col min="3" max="3" width="19" style="18" customWidth="1"/>
    <col min="4" max="4" width="9.28515625" style="18" customWidth="1"/>
    <col min="5" max="5" width="16.140625" style="18" customWidth="1"/>
    <col min="6" max="6" width="9" style="19" customWidth="1"/>
    <col min="7" max="7" width="9.140625" style="18"/>
    <col min="8" max="8" width="26.7109375" style="18" customWidth="1"/>
    <col min="9" max="9" width="7.140625" style="18" customWidth="1"/>
    <col min="10" max="10" width="11" style="19" customWidth="1"/>
    <col min="11" max="11" width="7" style="18" customWidth="1"/>
    <col min="12" max="12" width="10.140625" style="18" customWidth="1"/>
    <col min="13" max="13" width="16.7109375" style="10" customWidth="1"/>
    <col min="14" max="14" width="44.85546875" style="18" customWidth="1"/>
    <col min="15" max="15" width="70.140625" style="18" customWidth="1"/>
    <col min="16" max="16384" width="9.140625" style="18"/>
  </cols>
  <sheetData>
    <row r="1" spans="1:18" s="3" customFormat="1" ht="45" x14ac:dyDescent="0.25">
      <c r="A1" s="3" t="s">
        <v>0</v>
      </c>
      <c r="B1" s="3" t="s">
        <v>1</v>
      </c>
      <c r="C1" s="3" t="s">
        <v>2</v>
      </c>
      <c r="D1" s="4" t="s">
        <v>3</v>
      </c>
      <c r="E1" s="3" t="s">
        <v>4</v>
      </c>
      <c r="F1" s="4" t="s">
        <v>5</v>
      </c>
      <c r="G1" s="4" t="s">
        <v>6</v>
      </c>
      <c r="H1" s="3" t="s">
        <v>7</v>
      </c>
      <c r="I1" s="4" t="s">
        <v>8</v>
      </c>
      <c r="J1" s="4" t="s">
        <v>9</v>
      </c>
      <c r="K1" s="3" t="s">
        <v>10</v>
      </c>
      <c r="L1" s="3" t="s">
        <v>11</v>
      </c>
      <c r="M1" s="3" t="s">
        <v>12</v>
      </c>
      <c r="N1" s="3" t="s">
        <v>13</v>
      </c>
      <c r="O1" s="3" t="s">
        <v>14</v>
      </c>
      <c r="P1" s="3" t="s">
        <v>15</v>
      </c>
      <c r="Q1" s="3" t="s">
        <v>16</v>
      </c>
      <c r="R1" s="3" t="s">
        <v>17</v>
      </c>
    </row>
    <row r="2" spans="1:18" ht="45" x14ac:dyDescent="0.25">
      <c r="A2" s="18">
        <v>1</v>
      </c>
      <c r="B2" s="19">
        <v>1</v>
      </c>
      <c r="C2" s="18" t="s">
        <v>434</v>
      </c>
      <c r="D2" s="19">
        <v>1</v>
      </c>
      <c r="E2" s="18" t="s">
        <v>543</v>
      </c>
      <c r="F2" s="19" t="str">
        <f>_xlfn.CONCAT(B2,"_",G2)</f>
        <v>1_1</v>
      </c>
      <c r="G2" s="6">
        <v>1</v>
      </c>
      <c r="H2" s="7" t="s">
        <v>18</v>
      </c>
      <c r="I2" s="6" t="b">
        <v>1</v>
      </c>
      <c r="J2" s="6">
        <v>3</v>
      </c>
      <c r="K2" s="6" t="s">
        <v>19</v>
      </c>
      <c r="L2" s="18" t="str">
        <f>_xlfn.CONCAT(F2,"_",K2)</f>
        <v>1_1_A</v>
      </c>
      <c r="M2" s="8" t="s">
        <v>20</v>
      </c>
      <c r="N2" s="7"/>
      <c r="O2" s="7"/>
    </row>
    <row r="3" spans="1:18" ht="45" hidden="1" x14ac:dyDescent="0.25">
      <c r="A3" s="18">
        <v>2</v>
      </c>
      <c r="B3" s="19">
        <v>1</v>
      </c>
      <c r="C3" s="18" t="s">
        <v>434</v>
      </c>
      <c r="D3" s="19">
        <v>1</v>
      </c>
      <c r="E3" s="18" t="s">
        <v>543</v>
      </c>
      <c r="F3" s="19" t="str">
        <f t="shared" ref="F3:F14" si="0">_xlfn.CONCAT(B3,"_",G3)</f>
        <v>1_1</v>
      </c>
      <c r="G3" s="6">
        <v>1</v>
      </c>
      <c r="H3" s="7" t="s">
        <v>18</v>
      </c>
      <c r="I3" s="6" t="b">
        <v>1</v>
      </c>
      <c r="J3" s="6">
        <v>3</v>
      </c>
      <c r="K3" s="6" t="s">
        <v>21</v>
      </c>
      <c r="L3" s="18" t="str">
        <f t="shared" ref="L3:L14" si="1">_xlfn.CONCAT(F3,"_",K3)</f>
        <v>1_1_B</v>
      </c>
      <c r="M3" s="8" t="s">
        <v>22</v>
      </c>
      <c r="N3" s="7"/>
      <c r="O3" s="7"/>
    </row>
    <row r="4" spans="1:18" ht="45" hidden="1" x14ac:dyDescent="0.25">
      <c r="A4" s="18">
        <v>3</v>
      </c>
      <c r="B4" s="19">
        <v>1</v>
      </c>
      <c r="C4" s="18" t="s">
        <v>434</v>
      </c>
      <c r="D4" s="19">
        <v>1</v>
      </c>
      <c r="E4" s="18" t="s">
        <v>543</v>
      </c>
      <c r="F4" s="19" t="str">
        <f t="shared" si="0"/>
        <v>1_1</v>
      </c>
      <c r="G4" s="6">
        <v>1</v>
      </c>
      <c r="H4" s="7" t="s">
        <v>18</v>
      </c>
      <c r="I4" s="6" t="b">
        <v>1</v>
      </c>
      <c r="J4" s="6">
        <v>3</v>
      </c>
      <c r="K4" s="6" t="s">
        <v>23</v>
      </c>
      <c r="L4" s="18" t="str">
        <f t="shared" si="1"/>
        <v>1_1_C</v>
      </c>
      <c r="M4" s="8" t="s">
        <v>24</v>
      </c>
      <c r="N4" s="7"/>
      <c r="O4" s="7"/>
    </row>
    <row r="5" spans="1:18" ht="45" hidden="1" x14ac:dyDescent="0.25">
      <c r="A5" s="18">
        <v>4</v>
      </c>
      <c r="B5" s="19">
        <v>1</v>
      </c>
      <c r="C5" s="18" t="s">
        <v>434</v>
      </c>
      <c r="D5" s="19">
        <v>1</v>
      </c>
      <c r="E5" s="18" t="s">
        <v>543</v>
      </c>
      <c r="F5" s="19" t="str">
        <f t="shared" si="0"/>
        <v>1_1</v>
      </c>
      <c r="G5" s="6">
        <v>1</v>
      </c>
      <c r="H5" s="7" t="s">
        <v>18</v>
      </c>
      <c r="I5" s="6" t="b">
        <v>1</v>
      </c>
      <c r="J5" s="6">
        <v>3</v>
      </c>
      <c r="K5" s="6" t="s">
        <v>25</v>
      </c>
      <c r="L5" s="18" t="str">
        <f t="shared" si="1"/>
        <v>1_1_D</v>
      </c>
      <c r="M5" s="8" t="s">
        <v>26</v>
      </c>
      <c r="N5" s="7"/>
      <c r="O5" s="7"/>
    </row>
    <row r="6" spans="1:18" ht="45" hidden="1" x14ac:dyDescent="0.25">
      <c r="A6" s="18">
        <v>5</v>
      </c>
      <c r="B6" s="19">
        <v>1</v>
      </c>
      <c r="C6" s="18" t="s">
        <v>434</v>
      </c>
      <c r="D6" s="19">
        <v>1</v>
      </c>
      <c r="E6" s="18" t="s">
        <v>543</v>
      </c>
      <c r="F6" s="19" t="str">
        <f t="shared" si="0"/>
        <v>1_1</v>
      </c>
      <c r="G6" s="6">
        <v>1</v>
      </c>
      <c r="H6" s="7" t="s">
        <v>18</v>
      </c>
      <c r="I6" s="6" t="b">
        <v>1</v>
      </c>
      <c r="J6" s="6">
        <v>3</v>
      </c>
      <c r="K6" s="6" t="s">
        <v>27</v>
      </c>
      <c r="L6" s="18" t="str">
        <f t="shared" si="1"/>
        <v>1_1_E</v>
      </c>
      <c r="M6" s="8" t="s">
        <v>28</v>
      </c>
      <c r="N6" s="7"/>
      <c r="O6" s="7"/>
    </row>
    <row r="7" spans="1:18" ht="45" hidden="1" x14ac:dyDescent="0.25">
      <c r="A7" s="18">
        <v>6</v>
      </c>
      <c r="B7" s="19">
        <v>1</v>
      </c>
      <c r="C7" s="18" t="s">
        <v>434</v>
      </c>
      <c r="D7" s="19">
        <v>1</v>
      </c>
      <c r="E7" s="18" t="s">
        <v>543</v>
      </c>
      <c r="F7" s="19" t="str">
        <f t="shared" si="0"/>
        <v>1_1</v>
      </c>
      <c r="G7" s="6">
        <v>1</v>
      </c>
      <c r="H7" s="7" t="s">
        <v>18</v>
      </c>
      <c r="I7" s="6" t="b">
        <v>1</v>
      </c>
      <c r="J7" s="6">
        <v>3</v>
      </c>
      <c r="K7" s="6" t="s">
        <v>29</v>
      </c>
      <c r="L7" s="18" t="str">
        <f t="shared" si="1"/>
        <v>1_1_F</v>
      </c>
      <c r="M7" s="8" t="s">
        <v>30</v>
      </c>
      <c r="N7" s="7"/>
      <c r="O7" s="7"/>
    </row>
    <row r="8" spans="1:18" ht="45" hidden="1" x14ac:dyDescent="0.25">
      <c r="A8" s="18">
        <v>7</v>
      </c>
      <c r="B8" s="19">
        <v>1</v>
      </c>
      <c r="C8" s="18" t="s">
        <v>434</v>
      </c>
      <c r="D8" s="19">
        <v>1</v>
      </c>
      <c r="E8" s="18" t="s">
        <v>543</v>
      </c>
      <c r="F8" s="19" t="str">
        <f t="shared" si="0"/>
        <v>1_1</v>
      </c>
      <c r="G8" s="6">
        <v>1</v>
      </c>
      <c r="H8" s="7" t="s">
        <v>18</v>
      </c>
      <c r="I8" s="6" t="b">
        <v>1</v>
      </c>
      <c r="J8" s="6">
        <v>3</v>
      </c>
      <c r="K8" s="6" t="s">
        <v>31</v>
      </c>
      <c r="L8" s="18" t="str">
        <f t="shared" si="1"/>
        <v>1_1_OTHER</v>
      </c>
      <c r="M8" s="7" t="s">
        <v>32</v>
      </c>
      <c r="N8" s="7"/>
      <c r="O8" s="7"/>
    </row>
    <row r="9" spans="1:18" ht="135" x14ac:dyDescent="0.25">
      <c r="A9" s="18">
        <v>8</v>
      </c>
      <c r="B9" s="19">
        <v>1</v>
      </c>
      <c r="C9" s="18" t="s">
        <v>434</v>
      </c>
      <c r="D9" s="19">
        <v>2</v>
      </c>
      <c r="E9" s="18" t="s">
        <v>544</v>
      </c>
      <c r="F9" s="19" t="str">
        <f t="shared" si="0"/>
        <v>1_2</v>
      </c>
      <c r="G9" s="6">
        <v>2</v>
      </c>
      <c r="H9" s="8" t="s">
        <v>46</v>
      </c>
      <c r="I9" s="6" t="b">
        <v>1</v>
      </c>
      <c r="J9" s="8">
        <v>2</v>
      </c>
      <c r="K9" s="6" t="s">
        <v>19</v>
      </c>
      <c r="L9" s="18" t="str">
        <f t="shared" si="1"/>
        <v>1_2_A</v>
      </c>
      <c r="M9" s="8" t="s">
        <v>33</v>
      </c>
      <c r="N9" s="8" t="s">
        <v>34</v>
      </c>
      <c r="O9" s="8" t="s">
        <v>35</v>
      </c>
    </row>
    <row r="10" spans="1:18" ht="90" hidden="1" x14ac:dyDescent="0.25">
      <c r="A10" s="18">
        <v>9</v>
      </c>
      <c r="B10" s="19">
        <v>1</v>
      </c>
      <c r="C10" s="18" t="s">
        <v>434</v>
      </c>
      <c r="D10" s="19">
        <v>2</v>
      </c>
      <c r="E10" s="18" t="s">
        <v>544</v>
      </c>
      <c r="F10" s="19" t="str">
        <f t="shared" si="0"/>
        <v>1_2</v>
      </c>
      <c r="G10" s="6">
        <v>2</v>
      </c>
      <c r="H10" s="8" t="s">
        <v>46</v>
      </c>
      <c r="I10" s="6" t="b">
        <v>1</v>
      </c>
      <c r="J10" s="8">
        <v>2</v>
      </c>
      <c r="K10" s="6" t="s">
        <v>21</v>
      </c>
      <c r="L10" s="18" t="str">
        <f t="shared" si="1"/>
        <v>1_2_B</v>
      </c>
      <c r="M10" s="8" t="s">
        <v>36</v>
      </c>
      <c r="N10" s="8" t="s">
        <v>37</v>
      </c>
      <c r="O10" s="8" t="s">
        <v>38</v>
      </c>
    </row>
    <row r="11" spans="1:18" ht="120" hidden="1" x14ac:dyDescent="0.25">
      <c r="A11" s="18">
        <v>10</v>
      </c>
      <c r="B11" s="19">
        <v>1</v>
      </c>
      <c r="C11" s="18" t="s">
        <v>434</v>
      </c>
      <c r="D11" s="19">
        <v>2</v>
      </c>
      <c r="E11" s="18" t="s">
        <v>544</v>
      </c>
      <c r="F11" s="19" t="str">
        <f t="shared" si="0"/>
        <v>1_2</v>
      </c>
      <c r="G11" s="6">
        <v>2</v>
      </c>
      <c r="H11" s="8" t="s">
        <v>46</v>
      </c>
      <c r="I11" s="6" t="b">
        <v>1</v>
      </c>
      <c r="J11" s="8">
        <v>2</v>
      </c>
      <c r="K11" s="6" t="s">
        <v>23</v>
      </c>
      <c r="L11" s="18" t="str">
        <f t="shared" si="1"/>
        <v>1_2_C</v>
      </c>
      <c r="M11" s="8" t="s">
        <v>47</v>
      </c>
      <c r="N11" s="8" t="s">
        <v>39</v>
      </c>
      <c r="O11" s="8" t="s">
        <v>444</v>
      </c>
    </row>
    <row r="12" spans="1:18" ht="135" hidden="1" x14ac:dyDescent="0.25">
      <c r="A12" s="18">
        <v>11</v>
      </c>
      <c r="B12" s="19">
        <v>1</v>
      </c>
      <c r="C12" s="18" t="s">
        <v>434</v>
      </c>
      <c r="D12" s="19">
        <v>2</v>
      </c>
      <c r="E12" s="18" t="s">
        <v>544</v>
      </c>
      <c r="F12" s="19" t="str">
        <f t="shared" si="0"/>
        <v>1_2</v>
      </c>
      <c r="G12" s="6">
        <v>2</v>
      </c>
      <c r="H12" s="8" t="s">
        <v>46</v>
      </c>
      <c r="I12" s="6" t="b">
        <v>1</v>
      </c>
      <c r="J12" s="8">
        <v>2</v>
      </c>
      <c r="K12" s="6" t="s">
        <v>25</v>
      </c>
      <c r="L12" s="18" t="str">
        <f t="shared" si="1"/>
        <v>1_2_D</v>
      </c>
      <c r="M12" s="8" t="s">
        <v>40</v>
      </c>
      <c r="N12" s="8" t="s">
        <v>41</v>
      </c>
      <c r="O12" s="8" t="s">
        <v>42</v>
      </c>
    </row>
    <row r="13" spans="1:18" ht="105" hidden="1" x14ac:dyDescent="0.25">
      <c r="A13" s="18">
        <v>12</v>
      </c>
      <c r="B13" s="19">
        <v>1</v>
      </c>
      <c r="C13" s="18" t="s">
        <v>434</v>
      </c>
      <c r="D13" s="19">
        <v>2</v>
      </c>
      <c r="E13" s="18" t="s">
        <v>544</v>
      </c>
      <c r="F13" s="19" t="str">
        <f t="shared" si="0"/>
        <v>1_2</v>
      </c>
      <c r="G13" s="6">
        <v>2</v>
      </c>
      <c r="H13" s="8" t="s">
        <v>46</v>
      </c>
      <c r="I13" s="6" t="b">
        <v>1</v>
      </c>
      <c r="J13" s="8">
        <v>2</v>
      </c>
      <c r="K13" s="6" t="s">
        <v>27</v>
      </c>
      <c r="L13" s="18" t="str">
        <f t="shared" si="1"/>
        <v>1_2_E</v>
      </c>
      <c r="M13" s="8" t="s">
        <v>43</v>
      </c>
      <c r="N13" s="8" t="s">
        <v>44</v>
      </c>
      <c r="O13" s="8" t="s">
        <v>45</v>
      </c>
    </row>
    <row r="14" spans="1:18" ht="45" hidden="1" x14ac:dyDescent="0.25">
      <c r="A14" s="18">
        <v>13</v>
      </c>
      <c r="B14" s="19">
        <v>1</v>
      </c>
      <c r="C14" s="18" t="s">
        <v>434</v>
      </c>
      <c r="D14" s="19">
        <v>2</v>
      </c>
      <c r="E14" s="18" t="s">
        <v>544</v>
      </c>
      <c r="F14" s="19" t="str">
        <f t="shared" si="0"/>
        <v>1_2</v>
      </c>
      <c r="G14" s="6">
        <v>2</v>
      </c>
      <c r="H14" s="8" t="s">
        <v>46</v>
      </c>
      <c r="I14" s="6" t="b">
        <v>1</v>
      </c>
      <c r="J14" s="8">
        <v>2</v>
      </c>
      <c r="K14" s="6" t="s">
        <v>31</v>
      </c>
      <c r="L14" s="18" t="str">
        <f t="shared" si="1"/>
        <v>1_2_OTHER</v>
      </c>
      <c r="M14" s="8" t="s">
        <v>32</v>
      </c>
      <c r="N14" s="8"/>
      <c r="O14" s="8"/>
    </row>
    <row r="15" spans="1:18" s="8" customFormat="1" ht="101.25" customHeight="1" x14ac:dyDescent="0.25">
      <c r="A15" s="18">
        <v>14</v>
      </c>
      <c r="B15" s="19">
        <v>1</v>
      </c>
      <c r="C15" s="18" t="s">
        <v>434</v>
      </c>
      <c r="D15" s="6">
        <v>3</v>
      </c>
      <c r="E15" s="8" t="s">
        <v>542</v>
      </c>
      <c r="F15" s="6" t="s">
        <v>541</v>
      </c>
      <c r="G15" s="6">
        <v>3</v>
      </c>
      <c r="H15" s="8" t="s">
        <v>113</v>
      </c>
      <c r="I15" s="8" t="b">
        <v>1</v>
      </c>
      <c r="J15" s="6">
        <v>10</v>
      </c>
      <c r="K15" s="8" t="s">
        <v>19</v>
      </c>
      <c r="L15" s="8" t="s">
        <v>517</v>
      </c>
      <c r="M15" s="7" t="s">
        <v>71</v>
      </c>
      <c r="N15" s="7" t="s">
        <v>446</v>
      </c>
      <c r="O15" s="7" t="s">
        <v>72</v>
      </c>
    </row>
    <row r="16" spans="1:18" s="8" customFormat="1" ht="90" hidden="1" customHeight="1" x14ac:dyDescent="0.25">
      <c r="A16" s="18">
        <v>15</v>
      </c>
      <c r="B16" s="19">
        <v>1</v>
      </c>
      <c r="C16" s="18" t="s">
        <v>434</v>
      </c>
      <c r="D16" s="6">
        <v>3</v>
      </c>
      <c r="E16" s="8" t="s">
        <v>542</v>
      </c>
      <c r="F16" s="6" t="s">
        <v>541</v>
      </c>
      <c r="G16" s="6">
        <v>3</v>
      </c>
      <c r="H16" s="8" t="s">
        <v>113</v>
      </c>
      <c r="I16" s="8" t="b">
        <v>1</v>
      </c>
      <c r="J16" s="6">
        <v>10</v>
      </c>
      <c r="K16" s="8" t="s">
        <v>21</v>
      </c>
      <c r="L16" s="8" t="s">
        <v>518</v>
      </c>
      <c r="M16" s="7" t="s">
        <v>73</v>
      </c>
      <c r="N16" s="8" t="s">
        <v>74</v>
      </c>
      <c r="O16" s="7" t="s">
        <v>447</v>
      </c>
    </row>
    <row r="17" spans="1:15" s="8" customFormat="1" ht="82.5" hidden="1" customHeight="1" x14ac:dyDescent="0.25">
      <c r="A17" s="18">
        <v>16</v>
      </c>
      <c r="B17" s="19">
        <v>1</v>
      </c>
      <c r="C17" s="18" t="s">
        <v>434</v>
      </c>
      <c r="D17" s="6">
        <v>3</v>
      </c>
      <c r="E17" s="8" t="s">
        <v>542</v>
      </c>
      <c r="F17" s="6" t="s">
        <v>541</v>
      </c>
      <c r="G17" s="6">
        <v>3</v>
      </c>
      <c r="H17" s="8" t="s">
        <v>113</v>
      </c>
      <c r="I17" s="8" t="b">
        <v>1</v>
      </c>
      <c r="J17" s="6">
        <v>10</v>
      </c>
      <c r="K17" s="8" t="s">
        <v>23</v>
      </c>
      <c r="L17" s="8" t="s">
        <v>519</v>
      </c>
      <c r="M17" s="7" t="s">
        <v>75</v>
      </c>
      <c r="N17" s="8" t="s">
        <v>76</v>
      </c>
      <c r="O17" s="7" t="s">
        <v>77</v>
      </c>
    </row>
    <row r="18" spans="1:15" s="8" customFormat="1" ht="143.25" hidden="1" customHeight="1" x14ac:dyDescent="0.25">
      <c r="A18" s="18">
        <v>17</v>
      </c>
      <c r="B18" s="19">
        <v>1</v>
      </c>
      <c r="C18" s="18" t="s">
        <v>434</v>
      </c>
      <c r="D18" s="6">
        <v>3</v>
      </c>
      <c r="E18" s="8" t="s">
        <v>542</v>
      </c>
      <c r="F18" s="6" t="s">
        <v>541</v>
      </c>
      <c r="G18" s="6">
        <v>3</v>
      </c>
      <c r="H18" s="8" t="s">
        <v>113</v>
      </c>
      <c r="I18" s="8" t="b">
        <v>1</v>
      </c>
      <c r="J18" s="6">
        <v>10</v>
      </c>
      <c r="K18" s="8" t="s">
        <v>25</v>
      </c>
      <c r="L18" s="8" t="s">
        <v>520</v>
      </c>
      <c r="M18" s="7" t="s">
        <v>78</v>
      </c>
      <c r="N18" s="8" t="s">
        <v>79</v>
      </c>
      <c r="O18" s="7" t="s">
        <v>448</v>
      </c>
    </row>
    <row r="19" spans="1:15" s="8" customFormat="1" ht="120" hidden="1" customHeight="1" x14ac:dyDescent="0.25">
      <c r="A19" s="18">
        <v>18</v>
      </c>
      <c r="B19" s="19">
        <v>1</v>
      </c>
      <c r="C19" s="18" t="s">
        <v>434</v>
      </c>
      <c r="D19" s="6">
        <v>3</v>
      </c>
      <c r="E19" s="8" t="s">
        <v>542</v>
      </c>
      <c r="F19" s="6" t="s">
        <v>541</v>
      </c>
      <c r="G19" s="6">
        <v>3</v>
      </c>
      <c r="H19" s="8" t="s">
        <v>113</v>
      </c>
      <c r="I19" s="8" t="b">
        <v>1</v>
      </c>
      <c r="J19" s="6">
        <v>10</v>
      </c>
      <c r="K19" s="8" t="s">
        <v>27</v>
      </c>
      <c r="L19" s="8" t="s">
        <v>521</v>
      </c>
      <c r="M19" s="7" t="s">
        <v>80</v>
      </c>
      <c r="N19" s="8" t="s">
        <v>81</v>
      </c>
      <c r="O19" s="7" t="s">
        <v>449</v>
      </c>
    </row>
    <row r="20" spans="1:15" s="8" customFormat="1" ht="197.25" hidden="1" customHeight="1" x14ac:dyDescent="0.25">
      <c r="A20" s="18">
        <v>19</v>
      </c>
      <c r="B20" s="19">
        <v>1</v>
      </c>
      <c r="C20" s="18" t="s">
        <v>434</v>
      </c>
      <c r="D20" s="6">
        <v>3</v>
      </c>
      <c r="E20" s="8" t="s">
        <v>542</v>
      </c>
      <c r="F20" s="6" t="s">
        <v>541</v>
      </c>
      <c r="G20" s="6">
        <v>3</v>
      </c>
      <c r="H20" s="8" t="s">
        <v>113</v>
      </c>
      <c r="I20" s="8" t="b">
        <v>1</v>
      </c>
      <c r="J20" s="6">
        <v>10</v>
      </c>
      <c r="K20" s="8" t="s">
        <v>29</v>
      </c>
      <c r="L20" s="8" t="s">
        <v>522</v>
      </c>
      <c r="M20" s="7" t="s">
        <v>82</v>
      </c>
      <c r="N20" s="8" t="s">
        <v>83</v>
      </c>
      <c r="O20" s="7" t="s">
        <v>84</v>
      </c>
    </row>
    <row r="21" spans="1:15" s="8" customFormat="1" ht="54" hidden="1" customHeight="1" x14ac:dyDescent="0.25">
      <c r="A21" s="18">
        <v>20</v>
      </c>
      <c r="B21" s="19">
        <v>1</v>
      </c>
      <c r="C21" s="18" t="s">
        <v>434</v>
      </c>
      <c r="D21" s="6">
        <v>3</v>
      </c>
      <c r="E21" s="8" t="s">
        <v>542</v>
      </c>
      <c r="F21" s="6" t="s">
        <v>541</v>
      </c>
      <c r="G21" s="6">
        <v>3</v>
      </c>
      <c r="H21" s="8" t="s">
        <v>113</v>
      </c>
      <c r="I21" s="8" t="b">
        <v>1</v>
      </c>
      <c r="J21" s="6">
        <v>10</v>
      </c>
      <c r="K21" s="8" t="s">
        <v>31</v>
      </c>
      <c r="L21" s="8" t="s">
        <v>523</v>
      </c>
      <c r="M21" s="8" t="s">
        <v>32</v>
      </c>
    </row>
    <row r="22" spans="1:15" s="8" customFormat="1" ht="168.75" customHeight="1" x14ac:dyDescent="0.25">
      <c r="A22" s="18">
        <v>21</v>
      </c>
      <c r="B22" s="6">
        <v>2</v>
      </c>
      <c r="C22" s="8" t="s">
        <v>436</v>
      </c>
      <c r="D22" s="6">
        <v>1</v>
      </c>
      <c r="E22" s="8" t="s">
        <v>437</v>
      </c>
      <c r="F22" s="6" t="s">
        <v>502</v>
      </c>
      <c r="G22" s="6">
        <v>1</v>
      </c>
      <c r="H22" s="8" t="s">
        <v>309</v>
      </c>
      <c r="I22" s="8" t="b">
        <v>0</v>
      </c>
      <c r="J22" s="6">
        <v>1</v>
      </c>
      <c r="K22" s="8" t="s">
        <v>19</v>
      </c>
      <c r="L22" s="8" t="s">
        <v>508</v>
      </c>
      <c r="M22" s="7" t="s">
        <v>48</v>
      </c>
      <c r="N22" s="7" t="s">
        <v>49</v>
      </c>
      <c r="O22" s="7" t="s">
        <v>50</v>
      </c>
    </row>
    <row r="23" spans="1:15" s="8" customFormat="1" ht="54" hidden="1" customHeight="1" x14ac:dyDescent="0.25">
      <c r="A23" s="18">
        <v>22</v>
      </c>
      <c r="B23" s="6">
        <v>2</v>
      </c>
      <c r="C23" s="8" t="s">
        <v>436</v>
      </c>
      <c r="D23" s="6">
        <v>1</v>
      </c>
      <c r="E23" s="8" t="s">
        <v>437</v>
      </c>
      <c r="F23" s="6" t="s">
        <v>502</v>
      </c>
      <c r="G23" s="6">
        <v>1</v>
      </c>
      <c r="H23" s="8" t="s">
        <v>111</v>
      </c>
      <c r="I23" s="8" t="b">
        <v>0</v>
      </c>
      <c r="J23" s="6">
        <v>2</v>
      </c>
      <c r="K23" s="8" t="s">
        <v>21</v>
      </c>
      <c r="L23" s="8" t="s">
        <v>509</v>
      </c>
      <c r="M23" s="7" t="s">
        <v>51</v>
      </c>
      <c r="N23" s="7" t="s">
        <v>52</v>
      </c>
      <c r="O23" s="7" t="s">
        <v>53</v>
      </c>
    </row>
    <row r="24" spans="1:15" s="8" customFormat="1" ht="60" hidden="1" customHeight="1" x14ac:dyDescent="0.25">
      <c r="A24" s="18">
        <v>23</v>
      </c>
      <c r="B24" s="6">
        <v>2</v>
      </c>
      <c r="C24" s="8" t="s">
        <v>436</v>
      </c>
      <c r="D24" s="6">
        <v>1</v>
      </c>
      <c r="E24" s="8" t="s">
        <v>437</v>
      </c>
      <c r="F24" s="6" t="s">
        <v>502</v>
      </c>
      <c r="G24" s="6">
        <v>1</v>
      </c>
      <c r="H24" s="8" t="s">
        <v>111</v>
      </c>
      <c r="I24" s="8" t="b">
        <v>0</v>
      </c>
      <c r="J24" s="6">
        <v>3</v>
      </c>
      <c r="K24" s="8" t="s">
        <v>23</v>
      </c>
      <c r="L24" s="8" t="s">
        <v>510</v>
      </c>
      <c r="M24" s="7" t="s">
        <v>54</v>
      </c>
      <c r="N24" s="7" t="s">
        <v>55</v>
      </c>
      <c r="O24" s="7" t="s">
        <v>56</v>
      </c>
    </row>
    <row r="25" spans="1:15" s="8" customFormat="1" ht="135" customHeight="1" x14ac:dyDescent="0.25">
      <c r="A25" s="18">
        <v>24</v>
      </c>
      <c r="B25" s="6">
        <v>2</v>
      </c>
      <c r="C25" s="8" t="s">
        <v>436</v>
      </c>
      <c r="D25" s="6">
        <v>1</v>
      </c>
      <c r="E25" s="8" t="s">
        <v>437</v>
      </c>
      <c r="F25" s="6" t="s">
        <v>503</v>
      </c>
      <c r="G25" s="6">
        <v>2</v>
      </c>
      <c r="H25" s="8" t="s">
        <v>112</v>
      </c>
      <c r="I25" s="8" t="b">
        <v>1</v>
      </c>
      <c r="J25" s="6">
        <v>10</v>
      </c>
      <c r="K25" s="8" t="s">
        <v>19</v>
      </c>
      <c r="L25" s="8" t="s">
        <v>511</v>
      </c>
      <c r="M25" s="7" t="s">
        <v>57</v>
      </c>
      <c r="N25" s="7" t="s">
        <v>58</v>
      </c>
      <c r="O25" s="7" t="s">
        <v>445</v>
      </c>
    </row>
    <row r="26" spans="1:15" s="8" customFormat="1" ht="109.5" hidden="1" customHeight="1" x14ac:dyDescent="0.25">
      <c r="A26" s="18">
        <v>25</v>
      </c>
      <c r="B26" s="6">
        <v>2</v>
      </c>
      <c r="C26" s="8" t="s">
        <v>436</v>
      </c>
      <c r="D26" s="6">
        <v>1</v>
      </c>
      <c r="E26" s="8" t="s">
        <v>437</v>
      </c>
      <c r="F26" s="6" t="s">
        <v>503</v>
      </c>
      <c r="G26" s="6">
        <v>2</v>
      </c>
      <c r="H26" s="8" t="s">
        <v>112</v>
      </c>
      <c r="I26" s="8" t="b">
        <v>1</v>
      </c>
      <c r="J26" s="6">
        <v>10</v>
      </c>
      <c r="K26" s="8" t="s">
        <v>21</v>
      </c>
      <c r="L26" s="8" t="s">
        <v>512</v>
      </c>
      <c r="M26" s="7" t="s">
        <v>59</v>
      </c>
      <c r="N26" s="8" t="s">
        <v>60</v>
      </c>
      <c r="O26" s="7" t="s">
        <v>61</v>
      </c>
    </row>
    <row r="27" spans="1:15" s="8" customFormat="1" ht="91.5" hidden="1" customHeight="1" x14ac:dyDescent="0.25">
      <c r="A27" s="18">
        <v>26</v>
      </c>
      <c r="B27" s="6">
        <v>2</v>
      </c>
      <c r="C27" s="8" t="s">
        <v>436</v>
      </c>
      <c r="D27" s="6">
        <v>1</v>
      </c>
      <c r="E27" s="8" t="s">
        <v>437</v>
      </c>
      <c r="F27" s="6" t="s">
        <v>503</v>
      </c>
      <c r="G27" s="6">
        <v>2</v>
      </c>
      <c r="H27" s="8" t="s">
        <v>112</v>
      </c>
      <c r="I27" s="8" t="b">
        <v>1</v>
      </c>
      <c r="J27" s="6">
        <v>10</v>
      </c>
      <c r="K27" s="8" t="s">
        <v>23</v>
      </c>
      <c r="L27" s="8" t="s">
        <v>513</v>
      </c>
      <c r="M27" s="7" t="s">
        <v>62</v>
      </c>
      <c r="N27" s="8" t="s">
        <v>63</v>
      </c>
      <c r="O27" s="7" t="s">
        <v>64</v>
      </c>
    </row>
    <row r="28" spans="1:15" s="8" customFormat="1" ht="102" hidden="1" customHeight="1" x14ac:dyDescent="0.25">
      <c r="A28" s="18">
        <v>27</v>
      </c>
      <c r="B28" s="6">
        <v>2</v>
      </c>
      <c r="C28" s="8" t="s">
        <v>436</v>
      </c>
      <c r="D28" s="6">
        <v>1</v>
      </c>
      <c r="E28" s="8" t="s">
        <v>437</v>
      </c>
      <c r="F28" s="6" t="s">
        <v>503</v>
      </c>
      <c r="G28" s="6">
        <v>2</v>
      </c>
      <c r="H28" s="8" t="s">
        <v>112</v>
      </c>
      <c r="I28" s="8" t="b">
        <v>1</v>
      </c>
      <c r="J28" s="6">
        <v>10</v>
      </c>
      <c r="K28" s="8" t="s">
        <v>25</v>
      </c>
      <c r="L28" s="8" t="s">
        <v>514</v>
      </c>
      <c r="M28" s="7" t="s">
        <v>65</v>
      </c>
      <c r="N28" s="8" t="s">
        <v>66</v>
      </c>
      <c r="O28" s="7" t="s">
        <v>67</v>
      </c>
    </row>
    <row r="29" spans="1:15" s="8" customFormat="1" ht="127.5" hidden="1" customHeight="1" x14ac:dyDescent="0.25">
      <c r="A29" s="18">
        <v>28</v>
      </c>
      <c r="B29" s="6">
        <v>2</v>
      </c>
      <c r="C29" s="8" t="s">
        <v>436</v>
      </c>
      <c r="D29" s="6">
        <v>1</v>
      </c>
      <c r="E29" s="8" t="s">
        <v>437</v>
      </c>
      <c r="F29" s="6" t="s">
        <v>503</v>
      </c>
      <c r="G29" s="6">
        <v>2</v>
      </c>
      <c r="H29" s="8" t="s">
        <v>112</v>
      </c>
      <c r="I29" s="8" t="b">
        <v>1</v>
      </c>
      <c r="J29" s="6">
        <v>10</v>
      </c>
      <c r="K29" s="8" t="s">
        <v>27</v>
      </c>
      <c r="L29" s="8" t="s">
        <v>515</v>
      </c>
      <c r="M29" s="7" t="s">
        <v>68</v>
      </c>
      <c r="N29" s="8" t="s">
        <v>69</v>
      </c>
      <c r="O29" s="7" t="s">
        <v>70</v>
      </c>
    </row>
    <row r="30" spans="1:15" s="8" customFormat="1" ht="54" hidden="1" customHeight="1" x14ac:dyDescent="0.25">
      <c r="A30" s="18">
        <v>29</v>
      </c>
      <c r="B30" s="6">
        <v>2</v>
      </c>
      <c r="C30" s="8" t="s">
        <v>436</v>
      </c>
      <c r="D30" s="6">
        <v>1</v>
      </c>
      <c r="E30" s="8" t="s">
        <v>437</v>
      </c>
      <c r="F30" s="6" t="s">
        <v>503</v>
      </c>
      <c r="G30" s="6">
        <v>2</v>
      </c>
      <c r="H30" s="8" t="s">
        <v>112</v>
      </c>
      <c r="I30" s="8" t="b">
        <v>1</v>
      </c>
      <c r="J30" s="6">
        <v>10</v>
      </c>
      <c r="K30" s="8" t="s">
        <v>31</v>
      </c>
      <c r="L30" s="8" t="s">
        <v>516</v>
      </c>
      <c r="M30" s="7" t="s">
        <v>32</v>
      </c>
    </row>
    <row r="31" spans="1:15" s="10" customFormat="1" ht="45" x14ac:dyDescent="0.25">
      <c r="A31" s="18">
        <v>30</v>
      </c>
      <c r="B31" s="6">
        <v>2</v>
      </c>
      <c r="C31" s="8" t="s">
        <v>436</v>
      </c>
      <c r="D31" s="6">
        <v>2</v>
      </c>
      <c r="E31" s="8" t="s">
        <v>438</v>
      </c>
      <c r="F31" s="6" t="s">
        <v>504</v>
      </c>
      <c r="G31" s="11">
        <v>3</v>
      </c>
      <c r="H31" s="10" t="s">
        <v>175</v>
      </c>
      <c r="I31" s="10" t="b">
        <v>0</v>
      </c>
      <c r="J31" s="6">
        <v>10</v>
      </c>
      <c r="K31" s="11" t="s">
        <v>19</v>
      </c>
      <c r="L31" s="8" t="s">
        <v>524</v>
      </c>
      <c r="M31" s="10" t="s">
        <v>176</v>
      </c>
      <c r="N31" s="10" t="s">
        <v>455</v>
      </c>
      <c r="O31" s="10" t="s">
        <v>177</v>
      </c>
    </row>
    <row r="32" spans="1:15" s="10" customFormat="1" ht="90" hidden="1" x14ac:dyDescent="0.25">
      <c r="A32" s="18">
        <v>31</v>
      </c>
      <c r="B32" s="6">
        <v>2</v>
      </c>
      <c r="C32" s="8" t="s">
        <v>436</v>
      </c>
      <c r="D32" s="6">
        <v>2</v>
      </c>
      <c r="E32" s="8" t="s">
        <v>438</v>
      </c>
      <c r="F32" s="6" t="s">
        <v>504</v>
      </c>
      <c r="G32" s="11">
        <v>3</v>
      </c>
      <c r="H32" s="10" t="s">
        <v>175</v>
      </c>
      <c r="I32" s="10" t="b">
        <v>0</v>
      </c>
      <c r="J32" s="6">
        <v>10</v>
      </c>
      <c r="K32" s="11" t="s">
        <v>21</v>
      </c>
      <c r="L32" s="8" t="s">
        <v>525</v>
      </c>
      <c r="M32" s="10" t="s">
        <v>178</v>
      </c>
      <c r="N32" s="10" t="s">
        <v>456</v>
      </c>
      <c r="O32" s="10" t="s">
        <v>457</v>
      </c>
    </row>
    <row r="33" spans="1:18" s="10" customFormat="1" ht="55.5" hidden="1" customHeight="1" x14ac:dyDescent="0.25">
      <c r="A33" s="18">
        <v>32</v>
      </c>
      <c r="B33" s="6">
        <v>2</v>
      </c>
      <c r="C33" s="8" t="s">
        <v>436</v>
      </c>
      <c r="D33" s="6">
        <v>2</v>
      </c>
      <c r="E33" s="8" t="s">
        <v>438</v>
      </c>
      <c r="F33" s="6" t="s">
        <v>504</v>
      </c>
      <c r="G33" s="11">
        <v>3</v>
      </c>
      <c r="H33" s="10" t="s">
        <v>175</v>
      </c>
      <c r="I33" s="10" t="b">
        <v>0</v>
      </c>
      <c r="J33" s="6">
        <v>10</v>
      </c>
      <c r="K33" s="11" t="s">
        <v>23</v>
      </c>
      <c r="L33" s="8" t="s">
        <v>526</v>
      </c>
      <c r="M33" s="10" t="s">
        <v>179</v>
      </c>
      <c r="N33" s="10" t="s">
        <v>458</v>
      </c>
      <c r="O33" s="10" t="s">
        <v>459</v>
      </c>
    </row>
    <row r="34" spans="1:18" s="10" customFormat="1" ht="41.25" hidden="1" customHeight="1" x14ac:dyDescent="0.25">
      <c r="A34" s="18">
        <v>33</v>
      </c>
      <c r="B34" s="6">
        <v>2</v>
      </c>
      <c r="C34" s="8" t="s">
        <v>436</v>
      </c>
      <c r="D34" s="6">
        <v>2</v>
      </c>
      <c r="E34" s="8" t="s">
        <v>438</v>
      </c>
      <c r="F34" s="6" t="s">
        <v>504</v>
      </c>
      <c r="G34" s="11">
        <v>3</v>
      </c>
      <c r="H34" s="10" t="s">
        <v>175</v>
      </c>
      <c r="I34" s="10" t="b">
        <v>0</v>
      </c>
      <c r="J34" s="6">
        <v>10</v>
      </c>
      <c r="K34" s="11" t="s">
        <v>31</v>
      </c>
      <c r="L34" s="8" t="s">
        <v>527</v>
      </c>
      <c r="M34" s="10" t="s">
        <v>32</v>
      </c>
    </row>
    <row r="35" spans="1:18" s="8" customFormat="1" ht="104.25" customHeight="1" x14ac:dyDescent="0.25">
      <c r="A35" s="18">
        <v>34</v>
      </c>
      <c r="B35" s="6">
        <v>2</v>
      </c>
      <c r="C35" s="8" t="s">
        <v>436</v>
      </c>
      <c r="D35" s="6">
        <v>3</v>
      </c>
      <c r="E35" s="8" t="s">
        <v>439</v>
      </c>
      <c r="F35" s="6" t="s">
        <v>505</v>
      </c>
      <c r="G35" s="6">
        <v>4</v>
      </c>
      <c r="H35" s="8" t="s">
        <v>85</v>
      </c>
      <c r="I35" s="8" t="b">
        <v>0</v>
      </c>
      <c r="J35" s="6">
        <v>1</v>
      </c>
      <c r="K35" s="6" t="s">
        <v>19</v>
      </c>
      <c r="L35" s="8" t="s">
        <v>528</v>
      </c>
      <c r="M35" s="8" t="s">
        <v>86</v>
      </c>
      <c r="N35" s="8" t="s">
        <v>87</v>
      </c>
      <c r="O35" s="8" t="s">
        <v>88</v>
      </c>
    </row>
    <row r="36" spans="1:18" s="8" customFormat="1" ht="122.25" hidden="1" customHeight="1" x14ac:dyDescent="0.25">
      <c r="A36" s="18">
        <v>35</v>
      </c>
      <c r="B36" s="6">
        <v>2</v>
      </c>
      <c r="C36" s="8" t="s">
        <v>436</v>
      </c>
      <c r="D36" s="6">
        <v>3</v>
      </c>
      <c r="E36" s="8" t="s">
        <v>439</v>
      </c>
      <c r="F36" s="6" t="s">
        <v>505</v>
      </c>
      <c r="G36" s="6">
        <v>4</v>
      </c>
      <c r="H36" s="8" t="s">
        <v>85</v>
      </c>
      <c r="I36" s="8" t="b">
        <v>0</v>
      </c>
      <c r="J36" s="6">
        <v>1</v>
      </c>
      <c r="K36" s="6" t="s">
        <v>21</v>
      </c>
      <c r="L36" s="8" t="s">
        <v>529</v>
      </c>
      <c r="M36" s="8" t="s">
        <v>89</v>
      </c>
      <c r="N36" s="8" t="s">
        <v>90</v>
      </c>
      <c r="O36" s="8" t="s">
        <v>91</v>
      </c>
    </row>
    <row r="37" spans="1:18" s="8" customFormat="1" ht="121.5" hidden="1" customHeight="1" x14ac:dyDescent="0.25">
      <c r="A37" s="18">
        <v>36</v>
      </c>
      <c r="B37" s="6">
        <v>2</v>
      </c>
      <c r="C37" s="8" t="s">
        <v>436</v>
      </c>
      <c r="D37" s="6">
        <v>3</v>
      </c>
      <c r="E37" s="8" t="s">
        <v>439</v>
      </c>
      <c r="F37" s="6" t="s">
        <v>505</v>
      </c>
      <c r="G37" s="6">
        <v>4</v>
      </c>
      <c r="H37" s="8" t="s">
        <v>85</v>
      </c>
      <c r="I37" s="8" t="b">
        <v>0</v>
      </c>
      <c r="J37" s="6">
        <v>1</v>
      </c>
      <c r="K37" s="6" t="s">
        <v>23</v>
      </c>
      <c r="L37" s="8" t="s">
        <v>530</v>
      </c>
      <c r="M37" s="8" t="s">
        <v>92</v>
      </c>
      <c r="N37" s="8" t="s">
        <v>93</v>
      </c>
      <c r="O37" s="8" t="s">
        <v>94</v>
      </c>
    </row>
    <row r="38" spans="1:18" s="8" customFormat="1" ht="168" hidden="1" customHeight="1" x14ac:dyDescent="0.25">
      <c r="A38" s="18">
        <v>37</v>
      </c>
      <c r="B38" s="6">
        <v>2</v>
      </c>
      <c r="C38" s="8" t="s">
        <v>436</v>
      </c>
      <c r="D38" s="6">
        <v>3</v>
      </c>
      <c r="E38" s="8" t="s">
        <v>439</v>
      </c>
      <c r="F38" s="6" t="s">
        <v>505</v>
      </c>
      <c r="G38" s="6">
        <v>4</v>
      </c>
      <c r="H38" s="8" t="s">
        <v>85</v>
      </c>
      <c r="I38" s="8" t="b">
        <v>0</v>
      </c>
      <c r="J38" s="6">
        <v>1</v>
      </c>
      <c r="K38" s="6" t="s">
        <v>25</v>
      </c>
      <c r="L38" s="8" t="s">
        <v>531</v>
      </c>
      <c r="M38" s="8" t="s">
        <v>95</v>
      </c>
      <c r="N38" s="8" t="s">
        <v>96</v>
      </c>
      <c r="O38" s="8" t="s">
        <v>465</v>
      </c>
    </row>
    <row r="39" spans="1:18" s="8" customFormat="1" ht="60.75" hidden="1" customHeight="1" x14ac:dyDescent="0.25">
      <c r="A39" s="18">
        <v>38</v>
      </c>
      <c r="B39" s="6">
        <v>2</v>
      </c>
      <c r="C39" s="8" t="s">
        <v>436</v>
      </c>
      <c r="D39" s="6">
        <v>3</v>
      </c>
      <c r="E39" s="8" t="s">
        <v>439</v>
      </c>
      <c r="F39" s="6" t="s">
        <v>505</v>
      </c>
      <c r="G39" s="6">
        <v>4</v>
      </c>
      <c r="H39" s="8" t="s">
        <v>85</v>
      </c>
      <c r="I39" s="8" t="b">
        <v>0</v>
      </c>
      <c r="J39" s="6">
        <v>1</v>
      </c>
      <c r="K39" s="6" t="s">
        <v>31</v>
      </c>
      <c r="L39" s="8" t="s">
        <v>532</v>
      </c>
      <c r="M39" s="8" t="s">
        <v>32</v>
      </c>
    </row>
    <row r="40" spans="1:18" s="8" customFormat="1" ht="71.25" customHeight="1" x14ac:dyDescent="0.25">
      <c r="A40" s="18">
        <v>39</v>
      </c>
      <c r="B40" s="6">
        <v>2</v>
      </c>
      <c r="C40" s="8" t="s">
        <v>436</v>
      </c>
      <c r="D40" s="6">
        <v>3</v>
      </c>
      <c r="E40" s="8" t="s">
        <v>439</v>
      </c>
      <c r="F40" s="6" t="s">
        <v>506</v>
      </c>
      <c r="G40" s="6">
        <v>5</v>
      </c>
      <c r="H40" s="7" t="s">
        <v>460</v>
      </c>
      <c r="I40" s="8" t="b">
        <v>0</v>
      </c>
      <c r="J40" s="6">
        <v>1</v>
      </c>
      <c r="K40" s="6" t="s">
        <v>19</v>
      </c>
      <c r="L40" s="8" t="s">
        <v>533</v>
      </c>
      <c r="M40" s="7" t="s">
        <v>97</v>
      </c>
      <c r="N40" s="8" t="s">
        <v>450</v>
      </c>
      <c r="O40" s="8" t="s">
        <v>461</v>
      </c>
    </row>
    <row r="41" spans="1:18" s="8" customFormat="1" ht="129" hidden="1" customHeight="1" x14ac:dyDescent="0.25">
      <c r="A41" s="18">
        <v>40</v>
      </c>
      <c r="B41" s="6">
        <v>2</v>
      </c>
      <c r="C41" s="8" t="s">
        <v>436</v>
      </c>
      <c r="D41" s="6">
        <v>3</v>
      </c>
      <c r="E41" s="8" t="s">
        <v>439</v>
      </c>
      <c r="F41" s="6" t="s">
        <v>506</v>
      </c>
      <c r="G41" s="6">
        <v>5</v>
      </c>
      <c r="H41" s="7" t="s">
        <v>460</v>
      </c>
      <c r="I41" s="8" t="b">
        <v>0</v>
      </c>
      <c r="J41" s="6">
        <v>1</v>
      </c>
      <c r="K41" s="6" t="s">
        <v>21</v>
      </c>
      <c r="L41" s="8" t="s">
        <v>534</v>
      </c>
      <c r="M41" s="7" t="s">
        <v>98</v>
      </c>
      <c r="N41" s="8" t="s">
        <v>451</v>
      </c>
      <c r="O41" s="8" t="s">
        <v>462</v>
      </c>
    </row>
    <row r="42" spans="1:18" s="8" customFormat="1" ht="120.75" hidden="1" customHeight="1" x14ac:dyDescent="0.25">
      <c r="A42" s="18">
        <v>41</v>
      </c>
      <c r="B42" s="6">
        <v>2</v>
      </c>
      <c r="C42" s="8" t="s">
        <v>436</v>
      </c>
      <c r="D42" s="6">
        <v>3</v>
      </c>
      <c r="E42" s="8" t="s">
        <v>439</v>
      </c>
      <c r="F42" s="6" t="s">
        <v>506</v>
      </c>
      <c r="G42" s="6">
        <v>5</v>
      </c>
      <c r="H42" s="7" t="s">
        <v>460</v>
      </c>
      <c r="I42" s="8" t="b">
        <v>0</v>
      </c>
      <c r="J42" s="6">
        <v>1</v>
      </c>
      <c r="K42" s="6" t="s">
        <v>23</v>
      </c>
      <c r="L42" s="8" t="s">
        <v>535</v>
      </c>
      <c r="M42" s="7" t="s">
        <v>99</v>
      </c>
      <c r="N42" s="8" t="s">
        <v>463</v>
      </c>
      <c r="O42" s="8" t="s">
        <v>464</v>
      </c>
    </row>
    <row r="43" spans="1:18" s="8" customFormat="1" ht="72.75" hidden="1" customHeight="1" x14ac:dyDescent="0.25">
      <c r="A43" s="18">
        <v>42</v>
      </c>
      <c r="B43" s="6">
        <v>2</v>
      </c>
      <c r="C43" s="8" t="s">
        <v>436</v>
      </c>
      <c r="D43" s="6">
        <v>3</v>
      </c>
      <c r="E43" s="8" t="s">
        <v>439</v>
      </c>
      <c r="F43" s="6" t="s">
        <v>506</v>
      </c>
      <c r="G43" s="6">
        <v>5</v>
      </c>
      <c r="H43" s="7" t="s">
        <v>460</v>
      </c>
      <c r="I43" s="8" t="b">
        <v>0</v>
      </c>
      <c r="J43" s="6">
        <v>1</v>
      </c>
      <c r="K43" s="6" t="s">
        <v>31</v>
      </c>
      <c r="L43" s="8" t="s">
        <v>536</v>
      </c>
      <c r="M43" s="8" t="s">
        <v>32</v>
      </c>
    </row>
    <row r="44" spans="1:18" s="8" customFormat="1" ht="123" customHeight="1" x14ac:dyDescent="0.25">
      <c r="A44" s="18">
        <v>43</v>
      </c>
      <c r="B44" s="6">
        <v>2</v>
      </c>
      <c r="C44" s="8" t="s">
        <v>436</v>
      </c>
      <c r="D44" s="6">
        <v>3</v>
      </c>
      <c r="E44" s="8" t="s">
        <v>439</v>
      </c>
      <c r="F44" s="6" t="s">
        <v>507</v>
      </c>
      <c r="G44" s="6">
        <v>6</v>
      </c>
      <c r="H44" s="13" t="s">
        <v>100</v>
      </c>
      <c r="I44" s="8" t="b">
        <v>0</v>
      </c>
      <c r="J44" s="6">
        <v>1</v>
      </c>
      <c r="K44" s="6" t="s">
        <v>19</v>
      </c>
      <c r="L44" s="8" t="s">
        <v>537</v>
      </c>
      <c r="M44" s="13" t="s">
        <v>101</v>
      </c>
      <c r="N44" s="8" t="s">
        <v>102</v>
      </c>
    </row>
    <row r="45" spans="1:18" s="8" customFormat="1" ht="59.25" hidden="1" customHeight="1" x14ac:dyDescent="0.25">
      <c r="A45" s="18">
        <v>44</v>
      </c>
      <c r="B45" s="6">
        <v>2</v>
      </c>
      <c r="C45" s="8" t="s">
        <v>436</v>
      </c>
      <c r="D45" s="6">
        <v>3</v>
      </c>
      <c r="E45" s="8" t="s">
        <v>439</v>
      </c>
      <c r="F45" s="6" t="s">
        <v>507</v>
      </c>
      <c r="G45" s="6">
        <v>6</v>
      </c>
      <c r="H45" s="13" t="s">
        <v>100</v>
      </c>
      <c r="I45" s="8" t="b">
        <v>0</v>
      </c>
      <c r="J45" s="6">
        <v>1</v>
      </c>
      <c r="K45" s="6" t="s">
        <v>21</v>
      </c>
      <c r="L45" s="8" t="s">
        <v>538</v>
      </c>
      <c r="M45" s="13" t="s">
        <v>103</v>
      </c>
      <c r="N45" s="8" t="s">
        <v>104</v>
      </c>
    </row>
    <row r="46" spans="1:18" s="8" customFormat="1" ht="77.25" hidden="1" customHeight="1" x14ac:dyDescent="0.25">
      <c r="A46" s="18">
        <v>45</v>
      </c>
      <c r="B46" s="6">
        <v>2</v>
      </c>
      <c r="C46" s="8" t="s">
        <v>436</v>
      </c>
      <c r="D46" s="6">
        <v>3</v>
      </c>
      <c r="E46" s="8" t="s">
        <v>439</v>
      </c>
      <c r="F46" s="6" t="s">
        <v>507</v>
      </c>
      <c r="G46" s="6">
        <v>6</v>
      </c>
      <c r="H46" s="13" t="s">
        <v>100</v>
      </c>
      <c r="I46" s="8" t="b">
        <v>0</v>
      </c>
      <c r="J46" s="6">
        <v>1</v>
      </c>
      <c r="K46" s="6" t="s">
        <v>23</v>
      </c>
      <c r="L46" s="8" t="s">
        <v>539</v>
      </c>
      <c r="M46" s="13" t="s">
        <v>105</v>
      </c>
      <c r="N46" s="8" t="s">
        <v>106</v>
      </c>
    </row>
    <row r="47" spans="1:18" s="8" customFormat="1" ht="73.5" hidden="1" customHeight="1" x14ac:dyDescent="0.25">
      <c r="A47" s="18">
        <v>46</v>
      </c>
      <c r="B47" s="6">
        <v>2</v>
      </c>
      <c r="C47" s="8" t="s">
        <v>436</v>
      </c>
      <c r="D47" s="6">
        <v>3</v>
      </c>
      <c r="E47" s="8" t="s">
        <v>439</v>
      </c>
      <c r="F47" s="6" t="s">
        <v>507</v>
      </c>
      <c r="G47" s="6">
        <v>6</v>
      </c>
      <c r="H47" s="13" t="s">
        <v>100</v>
      </c>
      <c r="I47" s="8" t="b">
        <v>0</v>
      </c>
      <c r="J47" s="6">
        <v>1</v>
      </c>
      <c r="K47" s="6" t="s">
        <v>31</v>
      </c>
      <c r="L47" s="8" t="s">
        <v>540</v>
      </c>
      <c r="M47" s="8" t="s">
        <v>32</v>
      </c>
    </row>
    <row r="48" spans="1:18" s="10" customFormat="1" ht="44.25" customHeight="1" x14ac:dyDescent="0.25">
      <c r="A48" s="18">
        <v>47</v>
      </c>
      <c r="B48" s="11">
        <v>3</v>
      </c>
      <c r="C48" s="10" t="s">
        <v>339</v>
      </c>
      <c r="D48" s="11">
        <v>1</v>
      </c>
      <c r="E48" s="14" t="s">
        <v>336</v>
      </c>
      <c r="F48" s="19" t="str">
        <f>_xlfn.CONCAT(B48,"_",G48)</f>
        <v>3_1</v>
      </c>
      <c r="G48" s="11">
        <v>1</v>
      </c>
      <c r="H48" s="10" t="s">
        <v>180</v>
      </c>
      <c r="I48" s="10" t="b">
        <v>1</v>
      </c>
      <c r="J48" s="11">
        <v>10</v>
      </c>
      <c r="K48" s="10" t="s">
        <v>19</v>
      </c>
      <c r="L48" s="18" t="str">
        <f>_xlfn.CONCAT(F48,"_",K48)</f>
        <v>3_1_A</v>
      </c>
      <c r="M48" s="14" t="s">
        <v>118</v>
      </c>
      <c r="N48" s="14" t="s">
        <v>268</v>
      </c>
      <c r="O48" s="14" t="s">
        <v>119</v>
      </c>
      <c r="R48" s="18">
        <v>1</v>
      </c>
    </row>
    <row r="49" spans="1:18" s="10" customFormat="1" ht="71.25" hidden="1" customHeight="1" x14ac:dyDescent="0.25">
      <c r="A49" s="18">
        <v>48</v>
      </c>
      <c r="B49" s="11">
        <v>3</v>
      </c>
      <c r="C49" s="10" t="s">
        <v>339</v>
      </c>
      <c r="D49" s="11">
        <v>1</v>
      </c>
      <c r="E49" s="14" t="s">
        <v>336</v>
      </c>
      <c r="F49" s="19" t="str">
        <f>_xlfn.CONCAT(B49,"_",G49)</f>
        <v>3_1</v>
      </c>
      <c r="G49" s="11">
        <v>1</v>
      </c>
      <c r="H49" s="10" t="s">
        <v>180</v>
      </c>
      <c r="I49" s="10" t="b">
        <v>1</v>
      </c>
      <c r="J49" s="11">
        <v>10</v>
      </c>
      <c r="K49" s="10" t="s">
        <v>21</v>
      </c>
      <c r="L49" s="18" t="str">
        <f>_xlfn.CONCAT(F49,"_",K49)</f>
        <v>3_1_B</v>
      </c>
      <c r="M49" s="14" t="s">
        <v>120</v>
      </c>
      <c r="N49" s="10" t="s">
        <v>269</v>
      </c>
      <c r="O49" s="14" t="s">
        <v>300</v>
      </c>
      <c r="R49" s="18">
        <v>1</v>
      </c>
    </row>
    <row r="50" spans="1:18" s="10" customFormat="1" ht="105" hidden="1" customHeight="1" x14ac:dyDescent="0.25">
      <c r="A50" s="18">
        <v>49</v>
      </c>
      <c r="B50" s="11">
        <v>3</v>
      </c>
      <c r="C50" s="10" t="s">
        <v>339</v>
      </c>
      <c r="D50" s="11">
        <v>1</v>
      </c>
      <c r="E50" s="14" t="s">
        <v>336</v>
      </c>
      <c r="F50" s="19" t="str">
        <f>_xlfn.CONCAT(B50,"_",G50)</f>
        <v>3_1</v>
      </c>
      <c r="G50" s="11">
        <v>1</v>
      </c>
      <c r="H50" s="10" t="s">
        <v>180</v>
      </c>
      <c r="I50" s="10" t="b">
        <v>1</v>
      </c>
      <c r="J50" s="11">
        <v>10</v>
      </c>
      <c r="K50" s="10" t="s">
        <v>23</v>
      </c>
      <c r="L50" s="18" t="str">
        <f>_xlfn.CONCAT(F50,"_",K50)</f>
        <v>3_1_C</v>
      </c>
      <c r="M50" s="14" t="s">
        <v>121</v>
      </c>
      <c r="N50" s="10" t="s">
        <v>270</v>
      </c>
      <c r="O50" s="14" t="s">
        <v>122</v>
      </c>
      <c r="R50" s="18">
        <v>1</v>
      </c>
    </row>
    <row r="51" spans="1:18" s="10" customFormat="1" ht="116.25" hidden="1" customHeight="1" x14ac:dyDescent="0.25">
      <c r="A51" s="18">
        <v>50</v>
      </c>
      <c r="B51" s="11">
        <v>3</v>
      </c>
      <c r="C51" s="10" t="s">
        <v>339</v>
      </c>
      <c r="D51" s="11">
        <v>1</v>
      </c>
      <c r="E51" s="14" t="s">
        <v>336</v>
      </c>
      <c r="F51" s="19" t="str">
        <f>_xlfn.CONCAT(B51,"_",G51)</f>
        <v>3_1</v>
      </c>
      <c r="G51" s="11">
        <v>1</v>
      </c>
      <c r="H51" s="10" t="s">
        <v>180</v>
      </c>
      <c r="I51" s="10" t="b">
        <v>1</v>
      </c>
      <c r="J51" s="11">
        <v>10</v>
      </c>
      <c r="K51" s="10" t="s">
        <v>25</v>
      </c>
      <c r="L51" s="18" t="str">
        <f>_xlfn.CONCAT(F51,"_",K51)</f>
        <v>3_1_D</v>
      </c>
      <c r="M51" s="14" t="s">
        <v>123</v>
      </c>
      <c r="N51" s="10" t="s">
        <v>271</v>
      </c>
      <c r="O51" s="14" t="s">
        <v>124</v>
      </c>
      <c r="R51" s="18">
        <v>1</v>
      </c>
    </row>
    <row r="52" spans="1:18" s="10" customFormat="1" ht="45" hidden="1" x14ac:dyDescent="0.25">
      <c r="A52" s="18">
        <v>51</v>
      </c>
      <c r="B52" s="11">
        <v>3</v>
      </c>
      <c r="C52" s="10" t="s">
        <v>339</v>
      </c>
      <c r="D52" s="11">
        <v>1</v>
      </c>
      <c r="E52" s="14" t="s">
        <v>336</v>
      </c>
      <c r="F52" s="19" t="str">
        <f>_xlfn.CONCAT(B52,"_",G52)</f>
        <v>3_1</v>
      </c>
      <c r="G52" s="11">
        <v>1</v>
      </c>
      <c r="H52" s="10" t="s">
        <v>180</v>
      </c>
      <c r="I52" s="10" t="b">
        <v>1</v>
      </c>
      <c r="J52" s="11">
        <v>10</v>
      </c>
      <c r="K52" s="10" t="s">
        <v>27</v>
      </c>
      <c r="L52" s="18" t="str">
        <f>_xlfn.CONCAT(F52,"_",K52)</f>
        <v>3_1_E</v>
      </c>
      <c r="M52" s="14" t="s">
        <v>125</v>
      </c>
      <c r="N52" s="10" t="s">
        <v>272</v>
      </c>
      <c r="O52" s="14" t="s">
        <v>126</v>
      </c>
      <c r="R52" s="18">
        <v>1</v>
      </c>
    </row>
    <row r="53" spans="1:18" s="10" customFormat="1" ht="30" hidden="1" x14ac:dyDescent="0.25">
      <c r="A53" s="18">
        <v>52</v>
      </c>
      <c r="B53" s="11">
        <v>3</v>
      </c>
      <c r="C53" s="10" t="s">
        <v>339</v>
      </c>
      <c r="D53" s="11">
        <v>1</v>
      </c>
      <c r="E53" s="14" t="s">
        <v>336</v>
      </c>
      <c r="F53" s="19" t="str">
        <f>_xlfn.CONCAT(B53,"_",G53)</f>
        <v>3_1</v>
      </c>
      <c r="G53" s="11">
        <v>1</v>
      </c>
      <c r="H53" s="10" t="s">
        <v>180</v>
      </c>
      <c r="I53" s="10" t="b">
        <v>1</v>
      </c>
      <c r="J53" s="11">
        <v>10</v>
      </c>
      <c r="K53" s="10" t="s">
        <v>31</v>
      </c>
      <c r="L53" s="18" t="str">
        <f>_xlfn.CONCAT(F53,"_",K53)</f>
        <v>3_1_OTHER</v>
      </c>
      <c r="M53" s="14" t="s">
        <v>32</v>
      </c>
      <c r="R53" s="18">
        <v>1</v>
      </c>
    </row>
    <row r="54" spans="1:18" s="10" customFormat="1" ht="60" x14ac:dyDescent="0.25">
      <c r="A54" s="18">
        <v>53</v>
      </c>
      <c r="B54" s="11">
        <v>3</v>
      </c>
      <c r="C54" s="10" t="s">
        <v>339</v>
      </c>
      <c r="D54" s="11">
        <v>1</v>
      </c>
      <c r="E54" s="14" t="s">
        <v>336</v>
      </c>
      <c r="F54" s="19" t="str">
        <f>_xlfn.CONCAT(B54,"_",G54)</f>
        <v>3_2</v>
      </c>
      <c r="G54" s="11">
        <v>2</v>
      </c>
      <c r="H54" s="10" t="s">
        <v>181</v>
      </c>
      <c r="I54" s="10" t="b">
        <v>0</v>
      </c>
      <c r="J54" s="11">
        <v>1</v>
      </c>
      <c r="K54" s="10" t="s">
        <v>127</v>
      </c>
      <c r="L54" s="18" t="str">
        <f>_xlfn.CONCAT(F54,"_",K54)</f>
        <v xml:space="preserve">3_2_A  </v>
      </c>
      <c r="M54" s="14" t="s">
        <v>128</v>
      </c>
      <c r="N54" s="14" t="s">
        <v>273</v>
      </c>
      <c r="O54" s="14" t="s">
        <v>129</v>
      </c>
      <c r="R54" s="18">
        <v>1</v>
      </c>
    </row>
    <row r="55" spans="1:18" s="10" customFormat="1" ht="96.75" hidden="1" customHeight="1" x14ac:dyDescent="0.25">
      <c r="A55" s="18">
        <v>54</v>
      </c>
      <c r="B55" s="11">
        <v>3</v>
      </c>
      <c r="C55" s="10" t="s">
        <v>339</v>
      </c>
      <c r="D55" s="11">
        <v>1</v>
      </c>
      <c r="E55" s="14" t="s">
        <v>336</v>
      </c>
      <c r="F55" s="19" t="str">
        <f>_xlfn.CONCAT(B55,"_",G55)</f>
        <v>3_2</v>
      </c>
      <c r="G55" s="11">
        <v>2</v>
      </c>
      <c r="H55" s="10" t="s">
        <v>181</v>
      </c>
      <c r="I55" s="10" t="b">
        <v>0</v>
      </c>
      <c r="J55" s="11">
        <v>1</v>
      </c>
      <c r="K55" s="10" t="s">
        <v>21</v>
      </c>
      <c r="L55" s="18" t="str">
        <f>_xlfn.CONCAT(F55,"_",K55)</f>
        <v>3_2_B</v>
      </c>
      <c r="M55" s="14" t="s">
        <v>130</v>
      </c>
      <c r="N55" s="14" t="s">
        <v>274</v>
      </c>
      <c r="O55" s="14" t="s">
        <v>452</v>
      </c>
      <c r="R55" s="18">
        <v>1</v>
      </c>
    </row>
    <row r="56" spans="1:18" s="10" customFormat="1" ht="105" hidden="1" x14ac:dyDescent="0.25">
      <c r="A56" s="18">
        <v>55</v>
      </c>
      <c r="B56" s="11">
        <v>3</v>
      </c>
      <c r="C56" s="10" t="s">
        <v>339</v>
      </c>
      <c r="D56" s="11">
        <v>1</v>
      </c>
      <c r="E56" s="14" t="s">
        <v>336</v>
      </c>
      <c r="F56" s="19" t="str">
        <f>_xlfn.CONCAT(B56,"_",G56)</f>
        <v>3_2</v>
      </c>
      <c r="G56" s="11">
        <v>2</v>
      </c>
      <c r="H56" s="10" t="s">
        <v>181</v>
      </c>
      <c r="I56" s="10" t="b">
        <v>0</v>
      </c>
      <c r="J56" s="11">
        <v>1</v>
      </c>
      <c r="K56" s="10" t="s">
        <v>23</v>
      </c>
      <c r="L56" s="18" t="str">
        <f>_xlfn.CONCAT(F56,"_",K56)</f>
        <v>3_2_C</v>
      </c>
      <c r="M56" s="14" t="s">
        <v>131</v>
      </c>
      <c r="N56" s="14" t="s">
        <v>275</v>
      </c>
      <c r="O56" s="14" t="s">
        <v>132</v>
      </c>
      <c r="R56" s="18">
        <v>1</v>
      </c>
    </row>
    <row r="57" spans="1:18" s="10" customFormat="1" ht="283.5" customHeight="1" x14ac:dyDescent="0.25">
      <c r="A57" s="18">
        <v>56</v>
      </c>
      <c r="B57" s="11">
        <v>3</v>
      </c>
      <c r="C57" s="10" t="s">
        <v>339</v>
      </c>
      <c r="D57" s="11">
        <v>1</v>
      </c>
      <c r="E57" s="14" t="s">
        <v>336</v>
      </c>
      <c r="F57" s="19" t="str">
        <f>_xlfn.CONCAT(B57,"_",G57)</f>
        <v>3_3</v>
      </c>
      <c r="G57" s="11">
        <v>3</v>
      </c>
      <c r="H57" s="10" t="s">
        <v>453</v>
      </c>
      <c r="I57" s="10" t="b">
        <v>0</v>
      </c>
      <c r="J57" s="11">
        <v>1</v>
      </c>
      <c r="K57" s="10" t="s">
        <v>19</v>
      </c>
      <c r="L57" s="18" t="str">
        <f>_xlfn.CONCAT(F57,"_",K57)</f>
        <v>3_3_A</v>
      </c>
      <c r="M57" s="14" t="s">
        <v>133</v>
      </c>
      <c r="N57" s="14" t="s">
        <v>276</v>
      </c>
      <c r="O57" s="14" t="s">
        <v>134</v>
      </c>
      <c r="R57" s="18">
        <v>1</v>
      </c>
    </row>
    <row r="58" spans="1:18" s="10" customFormat="1" ht="409.5" hidden="1" x14ac:dyDescent="0.25">
      <c r="A58" s="18">
        <v>57</v>
      </c>
      <c r="B58" s="11">
        <v>3</v>
      </c>
      <c r="C58" s="10" t="s">
        <v>339</v>
      </c>
      <c r="D58" s="11">
        <v>1</v>
      </c>
      <c r="E58" s="14" t="s">
        <v>336</v>
      </c>
      <c r="F58" s="19" t="str">
        <f>_xlfn.CONCAT(B58,"_",G58)</f>
        <v>3_3</v>
      </c>
      <c r="G58" s="11">
        <v>3</v>
      </c>
      <c r="H58" s="10" t="s">
        <v>453</v>
      </c>
      <c r="I58" s="10" t="b">
        <v>0</v>
      </c>
      <c r="J58" s="11">
        <v>1</v>
      </c>
      <c r="K58" s="10" t="s">
        <v>21</v>
      </c>
      <c r="L58" s="18" t="str">
        <f>_xlfn.CONCAT(F58,"_",K58)</f>
        <v>3_3_B</v>
      </c>
      <c r="M58" s="14" t="s">
        <v>135</v>
      </c>
      <c r="N58" s="10" t="s">
        <v>277</v>
      </c>
      <c r="O58" s="14" t="s">
        <v>136</v>
      </c>
      <c r="R58" s="18">
        <v>1</v>
      </c>
    </row>
    <row r="59" spans="1:18" s="10" customFormat="1" ht="96.75" hidden="1" customHeight="1" x14ac:dyDescent="0.25">
      <c r="A59" s="18">
        <v>58</v>
      </c>
      <c r="B59" s="11">
        <v>3</v>
      </c>
      <c r="C59" s="10" t="s">
        <v>339</v>
      </c>
      <c r="D59" s="11">
        <v>1</v>
      </c>
      <c r="E59" s="14" t="s">
        <v>336</v>
      </c>
      <c r="F59" s="19" t="str">
        <f>_xlfn.CONCAT(B59,"_",G59)</f>
        <v>3_3</v>
      </c>
      <c r="G59" s="11">
        <v>3</v>
      </c>
      <c r="H59" s="10" t="s">
        <v>453</v>
      </c>
      <c r="I59" s="10" t="b">
        <v>0</v>
      </c>
      <c r="J59" s="11">
        <v>1</v>
      </c>
      <c r="K59" s="10" t="s">
        <v>23</v>
      </c>
      <c r="L59" s="18" t="str">
        <f>_xlfn.CONCAT(F59,"_",K59)</f>
        <v>3_3_C</v>
      </c>
      <c r="M59" s="14" t="s">
        <v>137</v>
      </c>
      <c r="N59" s="10" t="s">
        <v>278</v>
      </c>
      <c r="O59" s="14" t="s">
        <v>138</v>
      </c>
      <c r="R59" s="18">
        <v>1</v>
      </c>
    </row>
    <row r="60" spans="1:18" s="8" customFormat="1" ht="408.75" hidden="1" customHeight="1" x14ac:dyDescent="0.25">
      <c r="A60" s="18">
        <v>59</v>
      </c>
      <c r="B60" s="11">
        <v>3</v>
      </c>
      <c r="C60" s="10" t="s">
        <v>339</v>
      </c>
      <c r="D60" s="6">
        <v>1</v>
      </c>
      <c r="E60" s="14" t="s">
        <v>336</v>
      </c>
      <c r="F60" s="19" t="str">
        <f>_xlfn.CONCAT(B60,"_",G60)</f>
        <v>3_3</v>
      </c>
      <c r="G60" s="11">
        <v>3</v>
      </c>
      <c r="H60" s="10" t="s">
        <v>453</v>
      </c>
      <c r="I60" s="10" t="b">
        <v>0</v>
      </c>
      <c r="J60" s="11">
        <v>1</v>
      </c>
      <c r="K60" s="10" t="s">
        <v>25</v>
      </c>
      <c r="L60" s="18" t="str">
        <f>_xlfn.CONCAT(F60,"_",K60)</f>
        <v>3_3_D</v>
      </c>
      <c r="M60" s="14" t="s">
        <v>139</v>
      </c>
      <c r="N60" s="10" t="s">
        <v>279</v>
      </c>
      <c r="O60" s="14" t="s">
        <v>140</v>
      </c>
      <c r="R60" s="18">
        <v>1</v>
      </c>
    </row>
    <row r="61" spans="1:18" s="10" customFormat="1" ht="30" hidden="1" x14ac:dyDescent="0.25">
      <c r="A61" s="18">
        <v>60</v>
      </c>
      <c r="B61" s="11">
        <v>3</v>
      </c>
      <c r="C61" s="10" t="s">
        <v>339</v>
      </c>
      <c r="D61" s="11">
        <v>1</v>
      </c>
      <c r="E61" s="7" t="s">
        <v>336</v>
      </c>
      <c r="F61" s="19" t="str">
        <f>_xlfn.CONCAT(B61,"_",G61)</f>
        <v>3_3</v>
      </c>
      <c r="G61" s="11">
        <v>3</v>
      </c>
      <c r="H61" s="10" t="s">
        <v>453</v>
      </c>
      <c r="I61" s="10" t="b">
        <v>0</v>
      </c>
      <c r="J61" s="11">
        <v>1</v>
      </c>
      <c r="K61" s="8" t="s">
        <v>31</v>
      </c>
      <c r="L61" s="18" t="str">
        <f>_xlfn.CONCAT(F61,"_",K61)</f>
        <v>3_3_OTHER</v>
      </c>
      <c r="M61" s="8" t="s">
        <v>32</v>
      </c>
      <c r="N61" s="8"/>
      <c r="O61" s="8"/>
      <c r="R61" s="18">
        <v>1</v>
      </c>
    </row>
    <row r="62" spans="1:18" s="10" customFormat="1" ht="30" x14ac:dyDescent="0.25">
      <c r="A62" s="18">
        <v>61</v>
      </c>
      <c r="B62" s="11">
        <v>3</v>
      </c>
      <c r="C62" s="10" t="s">
        <v>339</v>
      </c>
      <c r="D62" s="11">
        <v>2</v>
      </c>
      <c r="E62" s="14" t="s">
        <v>337</v>
      </c>
      <c r="F62" s="19" t="str">
        <f>_xlfn.CONCAT(B62,"_",G62)</f>
        <v>3_4</v>
      </c>
      <c r="G62" s="11">
        <v>4</v>
      </c>
      <c r="H62" s="10" t="s">
        <v>141</v>
      </c>
      <c r="I62" s="10" t="b">
        <v>0</v>
      </c>
      <c r="J62" s="11">
        <v>1</v>
      </c>
      <c r="K62" s="10" t="s">
        <v>19</v>
      </c>
      <c r="L62" s="18" t="str">
        <f>_xlfn.CONCAT(F62,"_",K62)</f>
        <v>3_4_A</v>
      </c>
      <c r="M62" s="14" t="s">
        <v>142</v>
      </c>
      <c r="N62" s="14" t="s">
        <v>280</v>
      </c>
      <c r="O62" s="14" t="s">
        <v>143</v>
      </c>
      <c r="R62" s="18">
        <v>1</v>
      </c>
    </row>
    <row r="63" spans="1:18" s="10" customFormat="1" ht="45" hidden="1" x14ac:dyDescent="0.25">
      <c r="A63" s="18">
        <v>62</v>
      </c>
      <c r="B63" s="11">
        <v>3</v>
      </c>
      <c r="C63" s="10" t="s">
        <v>339</v>
      </c>
      <c r="D63" s="11">
        <v>2</v>
      </c>
      <c r="E63" s="14" t="s">
        <v>337</v>
      </c>
      <c r="F63" s="19" t="str">
        <f>_xlfn.CONCAT(B63,"_",G63)</f>
        <v>3_4</v>
      </c>
      <c r="G63" s="11">
        <v>4</v>
      </c>
      <c r="H63" s="10" t="s">
        <v>141</v>
      </c>
      <c r="I63" s="10" t="b">
        <v>0</v>
      </c>
      <c r="J63" s="11">
        <v>1</v>
      </c>
      <c r="K63" s="10" t="s">
        <v>21</v>
      </c>
      <c r="L63" s="18" t="str">
        <f>_xlfn.CONCAT(F63,"_",K63)</f>
        <v>3_4_B</v>
      </c>
      <c r="M63" s="14" t="s">
        <v>144</v>
      </c>
      <c r="N63" s="14" t="s">
        <v>281</v>
      </c>
      <c r="O63" s="14" t="s">
        <v>145</v>
      </c>
      <c r="R63" s="18">
        <v>1</v>
      </c>
    </row>
    <row r="64" spans="1:18" s="10" customFormat="1" ht="61.5" hidden="1" customHeight="1" x14ac:dyDescent="0.25">
      <c r="A64" s="18">
        <v>63</v>
      </c>
      <c r="B64" s="11">
        <v>3</v>
      </c>
      <c r="C64" s="10" t="s">
        <v>339</v>
      </c>
      <c r="D64" s="11">
        <v>2</v>
      </c>
      <c r="E64" s="14" t="s">
        <v>337</v>
      </c>
      <c r="F64" s="19" t="str">
        <f>_xlfn.CONCAT(B64,"_",G64)</f>
        <v>3_4</v>
      </c>
      <c r="G64" s="11">
        <v>4</v>
      </c>
      <c r="H64" s="10" t="s">
        <v>141</v>
      </c>
      <c r="I64" s="10" t="b">
        <v>0</v>
      </c>
      <c r="J64" s="11">
        <v>1</v>
      </c>
      <c r="K64" s="10" t="s">
        <v>23</v>
      </c>
      <c r="L64" s="18" t="str">
        <f>_xlfn.CONCAT(F64,"_",K64)</f>
        <v>3_4_C</v>
      </c>
      <c r="M64" s="14" t="s">
        <v>146</v>
      </c>
      <c r="N64" s="14" t="s">
        <v>282</v>
      </c>
      <c r="O64" s="14" t="s">
        <v>147</v>
      </c>
      <c r="R64" s="18">
        <v>1</v>
      </c>
    </row>
    <row r="65" spans="1:18" s="10" customFormat="1" ht="75" x14ac:dyDescent="0.25">
      <c r="A65" s="18">
        <v>64</v>
      </c>
      <c r="B65" s="11">
        <v>3</v>
      </c>
      <c r="C65" s="10" t="s">
        <v>339</v>
      </c>
      <c r="D65" s="11">
        <v>2</v>
      </c>
      <c r="E65" s="14" t="s">
        <v>337</v>
      </c>
      <c r="F65" s="19" t="str">
        <f>_xlfn.CONCAT(B65,"_",G65)</f>
        <v>3_5</v>
      </c>
      <c r="G65" s="11">
        <v>5</v>
      </c>
      <c r="H65" s="10" t="s">
        <v>148</v>
      </c>
      <c r="I65" s="10" t="b">
        <v>0</v>
      </c>
      <c r="J65" s="11">
        <v>1</v>
      </c>
      <c r="K65" s="10" t="s">
        <v>19</v>
      </c>
      <c r="L65" s="18" t="str">
        <f>_xlfn.CONCAT(F65,"_",K65)</f>
        <v>3_5_A</v>
      </c>
      <c r="M65" s="14" t="s">
        <v>149</v>
      </c>
      <c r="N65" s="14" t="s">
        <v>283</v>
      </c>
      <c r="O65" s="14" t="s">
        <v>150</v>
      </c>
      <c r="R65" s="18">
        <v>1</v>
      </c>
    </row>
    <row r="66" spans="1:18" s="10" customFormat="1" ht="126" hidden="1" customHeight="1" x14ac:dyDescent="0.25">
      <c r="A66" s="18">
        <v>65</v>
      </c>
      <c r="B66" s="11">
        <v>3</v>
      </c>
      <c r="C66" s="10" t="s">
        <v>339</v>
      </c>
      <c r="D66" s="11">
        <v>2</v>
      </c>
      <c r="E66" s="14" t="s">
        <v>337</v>
      </c>
      <c r="F66" s="19" t="str">
        <f>_xlfn.CONCAT(B66,"_",G66)</f>
        <v>3_5</v>
      </c>
      <c r="G66" s="11">
        <v>5</v>
      </c>
      <c r="H66" s="10" t="s">
        <v>148</v>
      </c>
      <c r="I66" s="10" t="b">
        <v>0</v>
      </c>
      <c r="J66" s="11">
        <v>1</v>
      </c>
      <c r="K66" s="10" t="s">
        <v>21</v>
      </c>
      <c r="L66" s="18" t="str">
        <f>_xlfn.CONCAT(F66,"_",K66)</f>
        <v>3_5_B</v>
      </c>
      <c r="M66" s="10" t="s">
        <v>454</v>
      </c>
      <c r="N66" s="10" t="s">
        <v>284</v>
      </c>
      <c r="O66" s="10" t="s">
        <v>151</v>
      </c>
      <c r="R66" s="18">
        <v>1</v>
      </c>
    </row>
    <row r="67" spans="1:18" s="10" customFormat="1" ht="123" hidden="1" customHeight="1" x14ac:dyDescent="0.25">
      <c r="A67" s="18">
        <v>66</v>
      </c>
      <c r="B67" s="11">
        <v>3</v>
      </c>
      <c r="C67" s="10" t="s">
        <v>339</v>
      </c>
      <c r="D67" s="11">
        <v>2</v>
      </c>
      <c r="E67" s="14" t="s">
        <v>337</v>
      </c>
      <c r="F67" s="19" t="str">
        <f t="shared" ref="F67:F130" si="2">_xlfn.CONCAT(B67,"_",G67)</f>
        <v>3_5</v>
      </c>
      <c r="G67" s="11">
        <v>5</v>
      </c>
      <c r="H67" s="10" t="s">
        <v>148</v>
      </c>
      <c r="I67" s="10" t="b">
        <v>0</v>
      </c>
      <c r="J67" s="11">
        <v>1</v>
      </c>
      <c r="K67" s="10" t="s">
        <v>23</v>
      </c>
      <c r="L67" s="18" t="str">
        <f t="shared" ref="L67:L130" si="3">_xlfn.CONCAT(F67,"_",K67)</f>
        <v>3_5_C</v>
      </c>
      <c r="M67" s="14" t="s">
        <v>152</v>
      </c>
      <c r="N67" s="14" t="s">
        <v>285</v>
      </c>
      <c r="O67" s="14" t="s">
        <v>153</v>
      </c>
      <c r="R67" s="18">
        <v>1</v>
      </c>
    </row>
    <row r="68" spans="1:18" s="10" customFormat="1" ht="30" hidden="1" x14ac:dyDescent="0.25">
      <c r="A68" s="18">
        <v>67</v>
      </c>
      <c r="B68" s="11">
        <v>3</v>
      </c>
      <c r="C68" s="10" t="s">
        <v>339</v>
      </c>
      <c r="D68" s="11">
        <v>2</v>
      </c>
      <c r="E68" s="14" t="s">
        <v>337</v>
      </c>
      <c r="F68" s="19" t="str">
        <f t="shared" si="2"/>
        <v>3_5</v>
      </c>
      <c r="G68" s="11">
        <v>5</v>
      </c>
      <c r="H68" s="10" t="s">
        <v>148</v>
      </c>
      <c r="I68" s="10" t="b">
        <v>0</v>
      </c>
      <c r="J68" s="11">
        <v>1</v>
      </c>
      <c r="K68" s="10" t="s">
        <v>31</v>
      </c>
      <c r="L68" s="18" t="str">
        <f t="shared" si="3"/>
        <v>3_5_OTHER</v>
      </c>
      <c r="M68" s="14" t="s">
        <v>32</v>
      </c>
      <c r="N68" s="14"/>
      <c r="O68" s="14"/>
      <c r="R68" s="18">
        <v>1</v>
      </c>
    </row>
    <row r="69" spans="1:18" s="10" customFormat="1" ht="30" x14ac:dyDescent="0.25">
      <c r="A69" s="18">
        <v>68</v>
      </c>
      <c r="B69" s="11">
        <v>3</v>
      </c>
      <c r="C69" s="10" t="s">
        <v>339</v>
      </c>
      <c r="D69" s="11">
        <v>2</v>
      </c>
      <c r="E69" s="14" t="s">
        <v>337</v>
      </c>
      <c r="F69" s="19" t="str">
        <f t="shared" si="2"/>
        <v>3_6</v>
      </c>
      <c r="G69" s="11">
        <v>6</v>
      </c>
      <c r="H69" s="10" t="s">
        <v>154</v>
      </c>
      <c r="I69" s="10" t="b">
        <v>0</v>
      </c>
      <c r="J69" s="11">
        <v>1</v>
      </c>
      <c r="K69" s="10" t="s">
        <v>19</v>
      </c>
      <c r="L69" s="18" t="str">
        <f t="shared" si="3"/>
        <v>3_6_A</v>
      </c>
      <c r="M69" s="10" t="s">
        <v>155</v>
      </c>
      <c r="N69" s="10" t="s">
        <v>286</v>
      </c>
      <c r="O69" s="10" t="s">
        <v>156</v>
      </c>
      <c r="R69" s="18">
        <v>1</v>
      </c>
    </row>
    <row r="70" spans="1:18" s="10" customFormat="1" ht="30" hidden="1" x14ac:dyDescent="0.25">
      <c r="A70" s="18">
        <v>69</v>
      </c>
      <c r="B70" s="11">
        <v>3</v>
      </c>
      <c r="C70" s="10" t="s">
        <v>339</v>
      </c>
      <c r="D70" s="11">
        <v>2</v>
      </c>
      <c r="E70" s="14" t="s">
        <v>337</v>
      </c>
      <c r="F70" s="19" t="str">
        <f t="shared" si="2"/>
        <v>3_6</v>
      </c>
      <c r="G70" s="11">
        <v>6</v>
      </c>
      <c r="H70" s="10" t="s">
        <v>154</v>
      </c>
      <c r="I70" s="10" t="b">
        <v>0</v>
      </c>
      <c r="J70" s="11">
        <v>1</v>
      </c>
      <c r="K70" s="10" t="s">
        <v>21</v>
      </c>
      <c r="L70" s="18" t="str">
        <f t="shared" si="3"/>
        <v>3_6_B</v>
      </c>
      <c r="M70" s="10" t="s">
        <v>157</v>
      </c>
      <c r="N70" s="10" t="s">
        <v>287</v>
      </c>
      <c r="O70" s="10" t="s">
        <v>158</v>
      </c>
      <c r="R70" s="18">
        <v>1</v>
      </c>
    </row>
    <row r="71" spans="1:18" s="10" customFormat="1" ht="45" hidden="1" x14ac:dyDescent="0.25">
      <c r="A71" s="18">
        <v>70</v>
      </c>
      <c r="B71" s="11">
        <v>3</v>
      </c>
      <c r="C71" s="10" t="s">
        <v>339</v>
      </c>
      <c r="D71" s="11">
        <v>2</v>
      </c>
      <c r="E71" s="14" t="s">
        <v>337</v>
      </c>
      <c r="F71" s="19" t="str">
        <f t="shared" si="2"/>
        <v>3_6</v>
      </c>
      <c r="G71" s="11">
        <v>6</v>
      </c>
      <c r="H71" s="10" t="s">
        <v>154</v>
      </c>
      <c r="I71" s="10" t="b">
        <v>0</v>
      </c>
      <c r="J71" s="11">
        <v>1</v>
      </c>
      <c r="K71" s="10" t="s">
        <v>23</v>
      </c>
      <c r="L71" s="18" t="str">
        <f t="shared" si="3"/>
        <v>3_6_C</v>
      </c>
      <c r="M71" s="10" t="s">
        <v>159</v>
      </c>
      <c r="N71" s="10" t="s">
        <v>288</v>
      </c>
      <c r="O71" s="10" t="s">
        <v>160</v>
      </c>
      <c r="R71" s="18">
        <v>1</v>
      </c>
    </row>
    <row r="72" spans="1:18" s="10" customFormat="1" ht="30" x14ac:dyDescent="0.25">
      <c r="A72" s="18">
        <v>71</v>
      </c>
      <c r="B72" s="11">
        <v>3</v>
      </c>
      <c r="C72" s="10" t="s">
        <v>339</v>
      </c>
      <c r="D72" s="11">
        <v>2</v>
      </c>
      <c r="E72" s="14" t="s">
        <v>337</v>
      </c>
      <c r="F72" s="19" t="str">
        <f t="shared" si="2"/>
        <v>3_7</v>
      </c>
      <c r="G72" s="11">
        <v>7</v>
      </c>
      <c r="H72" s="10" t="s">
        <v>161</v>
      </c>
      <c r="I72" s="10" t="b">
        <v>0</v>
      </c>
      <c r="J72" s="11">
        <v>1</v>
      </c>
      <c r="K72" s="10" t="s">
        <v>19</v>
      </c>
      <c r="L72" s="18" t="str">
        <f t="shared" si="3"/>
        <v>3_7_A</v>
      </c>
      <c r="M72" s="10" t="s">
        <v>162</v>
      </c>
      <c r="N72" s="10" t="s">
        <v>289</v>
      </c>
      <c r="O72" s="10" t="s">
        <v>163</v>
      </c>
      <c r="R72" s="18">
        <v>1</v>
      </c>
    </row>
    <row r="73" spans="1:18" s="10" customFormat="1" ht="45" hidden="1" x14ac:dyDescent="0.25">
      <c r="A73" s="18">
        <v>72</v>
      </c>
      <c r="B73" s="11">
        <v>3</v>
      </c>
      <c r="C73" s="10" t="s">
        <v>339</v>
      </c>
      <c r="D73" s="11">
        <v>2</v>
      </c>
      <c r="E73" s="14" t="s">
        <v>337</v>
      </c>
      <c r="F73" s="19" t="str">
        <f t="shared" si="2"/>
        <v>3_7</v>
      </c>
      <c r="G73" s="11">
        <v>7</v>
      </c>
      <c r="H73" s="10" t="s">
        <v>161</v>
      </c>
      <c r="I73" s="10" t="b">
        <v>0</v>
      </c>
      <c r="J73" s="11">
        <v>1</v>
      </c>
      <c r="K73" s="10" t="s">
        <v>21</v>
      </c>
      <c r="L73" s="18" t="str">
        <f t="shared" si="3"/>
        <v>3_7_B</v>
      </c>
      <c r="M73" s="10" t="s">
        <v>164</v>
      </c>
      <c r="N73" s="10" t="s">
        <v>290</v>
      </c>
      <c r="O73" s="10" t="s">
        <v>165</v>
      </c>
      <c r="R73" s="18">
        <v>1</v>
      </c>
    </row>
    <row r="74" spans="1:18" s="10" customFormat="1" ht="63" hidden="1" customHeight="1" x14ac:dyDescent="0.25">
      <c r="A74" s="18">
        <v>73</v>
      </c>
      <c r="B74" s="11">
        <v>3</v>
      </c>
      <c r="C74" s="10" t="s">
        <v>339</v>
      </c>
      <c r="D74" s="11">
        <v>2</v>
      </c>
      <c r="E74" s="14" t="s">
        <v>337</v>
      </c>
      <c r="F74" s="19" t="str">
        <f t="shared" si="2"/>
        <v>3_7</v>
      </c>
      <c r="G74" s="11">
        <v>7</v>
      </c>
      <c r="H74" s="10" t="s">
        <v>161</v>
      </c>
      <c r="I74" s="10" t="b">
        <v>0</v>
      </c>
      <c r="J74" s="11">
        <v>1</v>
      </c>
      <c r="K74" s="10" t="s">
        <v>23</v>
      </c>
      <c r="L74" s="18" t="str">
        <f t="shared" si="3"/>
        <v>3_7_C</v>
      </c>
      <c r="M74" s="10" t="s">
        <v>166</v>
      </c>
      <c r="N74" s="10" t="s">
        <v>291</v>
      </c>
      <c r="O74" s="10" t="s">
        <v>167</v>
      </c>
      <c r="R74" s="18">
        <v>1</v>
      </c>
    </row>
    <row r="75" spans="1:18" s="10" customFormat="1" ht="104.25" customHeight="1" x14ac:dyDescent="0.25">
      <c r="A75" s="18">
        <v>74</v>
      </c>
      <c r="B75" s="11">
        <v>3</v>
      </c>
      <c r="C75" s="10" t="s">
        <v>339</v>
      </c>
      <c r="D75" s="11">
        <v>2</v>
      </c>
      <c r="E75" s="14" t="s">
        <v>337</v>
      </c>
      <c r="F75" s="19" t="str">
        <f t="shared" si="2"/>
        <v>3_8</v>
      </c>
      <c r="G75" s="11">
        <v>8</v>
      </c>
      <c r="H75" s="10" t="s">
        <v>168</v>
      </c>
      <c r="I75" s="10" t="b">
        <v>0</v>
      </c>
      <c r="J75" s="11">
        <v>1</v>
      </c>
      <c r="K75" s="10" t="s">
        <v>19</v>
      </c>
      <c r="L75" s="18" t="str">
        <f t="shared" si="3"/>
        <v>3_8_A</v>
      </c>
      <c r="M75" s="10" t="s">
        <v>169</v>
      </c>
      <c r="N75" s="10" t="s">
        <v>292</v>
      </c>
      <c r="O75" s="10" t="s">
        <v>170</v>
      </c>
      <c r="R75" s="18">
        <v>1</v>
      </c>
    </row>
    <row r="76" spans="1:18" s="10" customFormat="1" ht="68.25" hidden="1" customHeight="1" x14ac:dyDescent="0.25">
      <c r="A76" s="18">
        <v>75</v>
      </c>
      <c r="B76" s="11">
        <v>3</v>
      </c>
      <c r="C76" s="10" t="s">
        <v>339</v>
      </c>
      <c r="D76" s="11">
        <v>2</v>
      </c>
      <c r="E76" s="14" t="s">
        <v>337</v>
      </c>
      <c r="F76" s="19" t="str">
        <f t="shared" si="2"/>
        <v>3_8</v>
      </c>
      <c r="G76" s="11">
        <v>8</v>
      </c>
      <c r="H76" s="10" t="s">
        <v>168</v>
      </c>
      <c r="I76" s="10" t="b">
        <v>0</v>
      </c>
      <c r="J76" s="11">
        <v>1</v>
      </c>
      <c r="K76" s="10" t="s">
        <v>21</v>
      </c>
      <c r="L76" s="18" t="str">
        <f t="shared" si="3"/>
        <v>3_8_B</v>
      </c>
      <c r="M76" s="10" t="s">
        <v>171</v>
      </c>
      <c r="N76" s="10" t="s">
        <v>293</v>
      </c>
      <c r="O76" s="10" t="s">
        <v>172</v>
      </c>
      <c r="R76" s="18">
        <v>1</v>
      </c>
    </row>
    <row r="77" spans="1:18" s="10" customFormat="1" ht="68.25" hidden="1" customHeight="1" x14ac:dyDescent="0.25">
      <c r="A77" s="18">
        <v>76</v>
      </c>
      <c r="B77" s="11">
        <v>3</v>
      </c>
      <c r="C77" s="10" t="s">
        <v>339</v>
      </c>
      <c r="D77" s="11">
        <v>2</v>
      </c>
      <c r="E77" s="14" t="s">
        <v>337</v>
      </c>
      <c r="F77" s="19" t="str">
        <f t="shared" si="2"/>
        <v>3_8</v>
      </c>
      <c r="G77" s="11">
        <v>8</v>
      </c>
      <c r="H77" s="10" t="s">
        <v>168</v>
      </c>
      <c r="I77" s="10" t="b">
        <v>0</v>
      </c>
      <c r="J77" s="11">
        <v>1</v>
      </c>
      <c r="K77" s="10" t="s">
        <v>23</v>
      </c>
      <c r="L77" s="18" t="str">
        <f t="shared" si="3"/>
        <v>3_8_C</v>
      </c>
      <c r="M77" s="10" t="s">
        <v>173</v>
      </c>
      <c r="N77" s="10" t="s">
        <v>294</v>
      </c>
      <c r="O77" s="10" t="s">
        <v>174</v>
      </c>
      <c r="R77" s="18">
        <v>1</v>
      </c>
    </row>
    <row r="78" spans="1:18" ht="30" hidden="1" x14ac:dyDescent="0.25">
      <c r="A78" s="18">
        <v>77</v>
      </c>
      <c r="B78" s="11">
        <v>3</v>
      </c>
      <c r="C78" s="10" t="s">
        <v>339</v>
      </c>
      <c r="D78" s="11">
        <v>2</v>
      </c>
      <c r="E78" s="14" t="s">
        <v>337</v>
      </c>
      <c r="F78" s="19" t="str">
        <f t="shared" si="2"/>
        <v>3_8</v>
      </c>
      <c r="G78" s="11">
        <v>8</v>
      </c>
      <c r="H78" s="10" t="s">
        <v>168</v>
      </c>
      <c r="I78" s="10" t="b">
        <v>0</v>
      </c>
      <c r="J78" s="11">
        <v>1</v>
      </c>
      <c r="K78" s="10" t="s">
        <v>31</v>
      </c>
      <c r="L78" s="18" t="str">
        <f t="shared" si="3"/>
        <v>3_8_OTHER</v>
      </c>
      <c r="M78" s="8" t="s">
        <v>32</v>
      </c>
      <c r="N78" s="10"/>
      <c r="O78" s="10"/>
      <c r="R78" s="18">
        <v>1</v>
      </c>
    </row>
    <row r="79" spans="1:18" ht="146.25" customHeight="1" x14ac:dyDescent="0.25">
      <c r="A79" s="18">
        <v>78</v>
      </c>
      <c r="B79" s="11">
        <v>3</v>
      </c>
      <c r="C79" s="10" t="s">
        <v>339</v>
      </c>
      <c r="D79" s="19">
        <v>3</v>
      </c>
      <c r="E79" s="14" t="s">
        <v>338</v>
      </c>
      <c r="F79" s="19" t="str">
        <f t="shared" si="2"/>
        <v>3_9</v>
      </c>
      <c r="G79" s="6">
        <v>9</v>
      </c>
      <c r="H79" s="9" t="s">
        <v>301</v>
      </c>
      <c r="I79" s="8" t="b">
        <v>1</v>
      </c>
      <c r="J79" s="6">
        <v>10</v>
      </c>
      <c r="K79" s="6" t="s">
        <v>19</v>
      </c>
      <c r="L79" s="18" t="str">
        <f t="shared" si="3"/>
        <v>3_9_A</v>
      </c>
      <c r="M79" s="9" t="s">
        <v>265</v>
      </c>
      <c r="N79" s="8" t="s">
        <v>305</v>
      </c>
      <c r="O79" s="8" t="s">
        <v>302</v>
      </c>
      <c r="R79" s="18">
        <v>1</v>
      </c>
    </row>
    <row r="80" spans="1:18" ht="75" hidden="1" x14ac:dyDescent="0.25">
      <c r="A80" s="18">
        <v>79</v>
      </c>
      <c r="B80" s="11">
        <v>3</v>
      </c>
      <c r="C80" s="10" t="s">
        <v>339</v>
      </c>
      <c r="D80" s="19">
        <v>3</v>
      </c>
      <c r="E80" s="17" t="s">
        <v>338</v>
      </c>
      <c r="F80" s="19" t="str">
        <f t="shared" si="2"/>
        <v>3_9</v>
      </c>
      <c r="G80" s="6">
        <v>9</v>
      </c>
      <c r="H80" s="9" t="s">
        <v>301</v>
      </c>
      <c r="I80" s="8" t="b">
        <v>1</v>
      </c>
      <c r="J80" s="6">
        <v>10</v>
      </c>
      <c r="K80" s="6" t="s">
        <v>21</v>
      </c>
      <c r="L80" s="18" t="str">
        <f t="shared" si="3"/>
        <v>3_9_B</v>
      </c>
      <c r="M80" s="9" t="s">
        <v>266</v>
      </c>
      <c r="N80" s="8" t="s">
        <v>304</v>
      </c>
      <c r="O80" s="8" t="s">
        <v>303</v>
      </c>
      <c r="R80" s="18">
        <v>1</v>
      </c>
    </row>
    <row r="81" spans="1:18" ht="175.5" hidden="1" customHeight="1" x14ac:dyDescent="0.25">
      <c r="A81" s="18">
        <v>80</v>
      </c>
      <c r="B81" s="11">
        <v>3</v>
      </c>
      <c r="C81" s="10" t="s">
        <v>339</v>
      </c>
      <c r="D81" s="19">
        <v>3</v>
      </c>
      <c r="E81" s="17" t="s">
        <v>338</v>
      </c>
      <c r="F81" s="19" t="str">
        <f t="shared" si="2"/>
        <v>3_9</v>
      </c>
      <c r="G81" s="6">
        <v>9</v>
      </c>
      <c r="H81" s="9" t="s">
        <v>301</v>
      </c>
      <c r="I81" s="8" t="b">
        <v>1</v>
      </c>
      <c r="J81" s="6">
        <v>10</v>
      </c>
      <c r="K81" s="6" t="s">
        <v>23</v>
      </c>
      <c r="L81" s="18" t="str">
        <f t="shared" si="3"/>
        <v>3_9_C</v>
      </c>
      <c r="M81" s="9" t="s">
        <v>267</v>
      </c>
      <c r="N81" s="8" t="s">
        <v>307</v>
      </c>
      <c r="O81" s="8" t="s">
        <v>306</v>
      </c>
      <c r="R81" s="18">
        <v>1</v>
      </c>
    </row>
    <row r="82" spans="1:18" ht="30" hidden="1" x14ac:dyDescent="0.25">
      <c r="A82" s="18">
        <v>81</v>
      </c>
      <c r="B82" s="11">
        <v>3</v>
      </c>
      <c r="C82" s="10" t="s">
        <v>339</v>
      </c>
      <c r="D82" s="19">
        <v>3</v>
      </c>
      <c r="E82" s="17" t="s">
        <v>338</v>
      </c>
      <c r="F82" s="19" t="str">
        <f t="shared" si="2"/>
        <v>3_9</v>
      </c>
      <c r="G82" s="6">
        <v>9</v>
      </c>
      <c r="H82" s="9" t="s">
        <v>301</v>
      </c>
      <c r="I82" s="8" t="b">
        <v>1</v>
      </c>
      <c r="J82" s="6">
        <v>10</v>
      </c>
      <c r="K82" s="6" t="s">
        <v>31</v>
      </c>
      <c r="L82" s="18" t="str">
        <f t="shared" si="3"/>
        <v>3_9_OTHER</v>
      </c>
      <c r="M82" s="8" t="s">
        <v>32</v>
      </c>
      <c r="N82" s="8"/>
      <c r="O82" s="8"/>
      <c r="R82" s="18">
        <v>1</v>
      </c>
    </row>
    <row r="83" spans="1:18" s="8" customFormat="1" ht="167.25" customHeight="1" x14ac:dyDescent="0.25">
      <c r="A83" s="18">
        <v>82</v>
      </c>
      <c r="B83" s="11">
        <v>3</v>
      </c>
      <c r="C83" s="10" t="s">
        <v>339</v>
      </c>
      <c r="D83" s="19">
        <v>3</v>
      </c>
      <c r="E83" s="17" t="s">
        <v>338</v>
      </c>
      <c r="F83" s="19" t="str">
        <f t="shared" si="2"/>
        <v>3_10</v>
      </c>
      <c r="G83" s="6">
        <v>10</v>
      </c>
      <c r="H83" s="7" t="s">
        <v>114</v>
      </c>
      <c r="I83" s="8" t="b">
        <v>1</v>
      </c>
      <c r="J83" s="6">
        <v>10</v>
      </c>
      <c r="K83" s="6" t="s">
        <v>19</v>
      </c>
      <c r="L83" s="18" t="str">
        <f t="shared" si="3"/>
        <v>3_10_A</v>
      </c>
      <c r="M83" s="7" t="s">
        <v>107</v>
      </c>
      <c r="N83" s="8" t="s">
        <v>116</v>
      </c>
      <c r="O83" s="8" t="s">
        <v>115</v>
      </c>
      <c r="R83" s="18">
        <v>1</v>
      </c>
    </row>
    <row r="84" spans="1:18" s="8" customFormat="1" ht="164.25" hidden="1" customHeight="1" x14ac:dyDescent="0.25">
      <c r="A84" s="18">
        <v>83</v>
      </c>
      <c r="B84" s="11">
        <v>3</v>
      </c>
      <c r="C84" s="10" t="s">
        <v>339</v>
      </c>
      <c r="D84" s="19">
        <v>3</v>
      </c>
      <c r="E84" s="17" t="s">
        <v>338</v>
      </c>
      <c r="F84" s="19" t="str">
        <f t="shared" si="2"/>
        <v>3_10</v>
      </c>
      <c r="G84" s="6">
        <v>10</v>
      </c>
      <c r="H84" s="7" t="s">
        <v>114</v>
      </c>
      <c r="I84" s="8" t="b">
        <v>1</v>
      </c>
      <c r="J84" s="6">
        <v>10</v>
      </c>
      <c r="K84" s="6" t="s">
        <v>21</v>
      </c>
      <c r="L84" s="18" t="str">
        <f t="shared" si="3"/>
        <v>3_10_B</v>
      </c>
      <c r="M84" s="7" t="s">
        <v>108</v>
      </c>
      <c r="N84" s="8" t="s">
        <v>117</v>
      </c>
      <c r="O84" s="8" t="s">
        <v>109</v>
      </c>
      <c r="R84" s="18">
        <v>1</v>
      </c>
    </row>
    <row r="85" spans="1:18" s="8" customFormat="1" ht="203.25" hidden="1" customHeight="1" x14ac:dyDescent="0.25">
      <c r="A85" s="18">
        <v>84</v>
      </c>
      <c r="B85" s="11">
        <v>3</v>
      </c>
      <c r="C85" s="10" t="s">
        <v>339</v>
      </c>
      <c r="D85" s="19">
        <v>3</v>
      </c>
      <c r="E85" s="17" t="s">
        <v>338</v>
      </c>
      <c r="F85" s="19" t="str">
        <f t="shared" si="2"/>
        <v>3_10</v>
      </c>
      <c r="G85" s="6">
        <v>10</v>
      </c>
      <c r="H85" s="7" t="s">
        <v>114</v>
      </c>
      <c r="I85" s="8" t="b">
        <v>1</v>
      </c>
      <c r="J85" s="6">
        <v>10</v>
      </c>
      <c r="K85" s="6" t="s">
        <v>23</v>
      </c>
      <c r="L85" s="18" t="str">
        <f t="shared" si="3"/>
        <v>3_10_C</v>
      </c>
      <c r="M85" s="7" t="s">
        <v>110</v>
      </c>
      <c r="N85" s="8" t="s">
        <v>466</v>
      </c>
      <c r="O85" s="8" t="s">
        <v>467</v>
      </c>
      <c r="R85" s="18">
        <v>1</v>
      </c>
    </row>
    <row r="86" spans="1:18" ht="75" x14ac:dyDescent="0.25">
      <c r="A86" s="18">
        <v>85</v>
      </c>
      <c r="B86" s="11">
        <v>3</v>
      </c>
      <c r="C86" s="10" t="s">
        <v>339</v>
      </c>
      <c r="D86" s="19">
        <v>4</v>
      </c>
      <c r="E86" s="17" t="s">
        <v>335</v>
      </c>
      <c r="F86" s="19" t="str">
        <f t="shared" si="2"/>
        <v>3_11</v>
      </c>
      <c r="G86" s="19">
        <v>11</v>
      </c>
      <c r="H86" s="2" t="s">
        <v>308</v>
      </c>
      <c r="I86" s="18" t="b">
        <v>0</v>
      </c>
      <c r="J86" s="19">
        <v>1</v>
      </c>
      <c r="K86" s="6" t="s">
        <v>19</v>
      </c>
      <c r="L86" s="18" t="str">
        <f t="shared" si="3"/>
        <v>3_11_A</v>
      </c>
      <c r="M86" s="2" t="s">
        <v>246</v>
      </c>
      <c r="N86" s="10" t="s">
        <v>327</v>
      </c>
      <c r="O86" s="10" t="s">
        <v>324</v>
      </c>
      <c r="R86" s="18">
        <v>1</v>
      </c>
    </row>
    <row r="87" spans="1:18" ht="90" hidden="1" x14ac:dyDescent="0.25">
      <c r="A87" s="18">
        <v>86</v>
      </c>
      <c r="B87" s="11">
        <v>3</v>
      </c>
      <c r="C87" s="10" t="s">
        <v>339</v>
      </c>
      <c r="D87" s="19">
        <v>4</v>
      </c>
      <c r="E87" s="17" t="s">
        <v>335</v>
      </c>
      <c r="F87" s="19" t="str">
        <f t="shared" si="2"/>
        <v>3_11</v>
      </c>
      <c r="G87" s="19">
        <v>11</v>
      </c>
      <c r="H87" s="2" t="s">
        <v>308</v>
      </c>
      <c r="I87" s="18" t="b">
        <v>0</v>
      </c>
      <c r="J87" s="19">
        <v>1</v>
      </c>
      <c r="K87" s="6" t="s">
        <v>21</v>
      </c>
      <c r="L87" s="18" t="str">
        <f t="shared" si="3"/>
        <v>3_11_B</v>
      </c>
      <c r="M87" s="2" t="s">
        <v>247</v>
      </c>
      <c r="N87" s="10" t="s">
        <v>325</v>
      </c>
      <c r="O87" s="10" t="s">
        <v>326</v>
      </c>
      <c r="R87" s="18">
        <v>1</v>
      </c>
    </row>
    <row r="88" spans="1:18" ht="45" hidden="1" x14ac:dyDescent="0.25">
      <c r="A88" s="18">
        <v>87</v>
      </c>
      <c r="B88" s="11">
        <v>3</v>
      </c>
      <c r="C88" s="10" t="s">
        <v>339</v>
      </c>
      <c r="D88" s="19">
        <v>4</v>
      </c>
      <c r="E88" s="17" t="s">
        <v>335</v>
      </c>
      <c r="F88" s="19" t="str">
        <f t="shared" si="2"/>
        <v>3_11</v>
      </c>
      <c r="G88" s="19">
        <v>11</v>
      </c>
      <c r="H88" s="2" t="s">
        <v>308</v>
      </c>
      <c r="I88" s="18" t="b">
        <v>0</v>
      </c>
      <c r="J88" s="19">
        <v>1</v>
      </c>
      <c r="K88" s="6" t="s">
        <v>23</v>
      </c>
      <c r="L88" s="18" t="str">
        <f t="shared" si="3"/>
        <v>3_11_C</v>
      </c>
      <c r="M88" s="2" t="s">
        <v>248</v>
      </c>
      <c r="N88" s="10" t="s">
        <v>322</v>
      </c>
      <c r="O88" s="10"/>
      <c r="R88" s="18">
        <v>1</v>
      </c>
    </row>
    <row r="89" spans="1:18" ht="45" hidden="1" x14ac:dyDescent="0.25">
      <c r="A89" s="18">
        <v>88</v>
      </c>
      <c r="B89" s="11">
        <v>3</v>
      </c>
      <c r="C89" s="10" t="s">
        <v>339</v>
      </c>
      <c r="D89" s="19">
        <v>4</v>
      </c>
      <c r="E89" s="17" t="s">
        <v>335</v>
      </c>
      <c r="F89" s="19" t="str">
        <f t="shared" si="2"/>
        <v>3_11</v>
      </c>
      <c r="G89" s="19">
        <v>11</v>
      </c>
      <c r="H89" s="2" t="s">
        <v>308</v>
      </c>
      <c r="I89" s="18" t="b">
        <v>0</v>
      </c>
      <c r="J89" s="19">
        <v>1</v>
      </c>
      <c r="K89" s="19" t="s">
        <v>25</v>
      </c>
      <c r="L89" s="18" t="str">
        <f t="shared" si="3"/>
        <v>3_11_D</v>
      </c>
      <c r="M89" s="2" t="s">
        <v>249</v>
      </c>
      <c r="N89" s="10" t="s">
        <v>323</v>
      </c>
      <c r="O89" s="10"/>
      <c r="R89" s="18">
        <v>1</v>
      </c>
    </row>
    <row r="90" spans="1:18" ht="45" hidden="1" x14ac:dyDescent="0.25">
      <c r="A90" s="18">
        <v>89</v>
      </c>
      <c r="B90" s="11">
        <v>3</v>
      </c>
      <c r="C90" s="10" t="s">
        <v>339</v>
      </c>
      <c r="D90" s="19">
        <v>4</v>
      </c>
      <c r="E90" s="17" t="s">
        <v>335</v>
      </c>
      <c r="F90" s="19" t="str">
        <f t="shared" si="2"/>
        <v>3_11</v>
      </c>
      <c r="G90" s="19">
        <v>11</v>
      </c>
      <c r="H90" s="2" t="s">
        <v>308</v>
      </c>
      <c r="I90" s="18" t="b">
        <v>0</v>
      </c>
      <c r="J90" s="19">
        <v>1</v>
      </c>
      <c r="K90" s="6" t="s">
        <v>31</v>
      </c>
      <c r="L90" s="18" t="str">
        <f t="shared" si="3"/>
        <v>3_11_OTHER</v>
      </c>
      <c r="M90" s="8" t="s">
        <v>32</v>
      </c>
      <c r="N90" s="10"/>
      <c r="O90" s="10"/>
      <c r="R90" s="18">
        <v>1</v>
      </c>
    </row>
    <row r="91" spans="1:18" ht="60" x14ac:dyDescent="0.25">
      <c r="A91" s="18">
        <v>90</v>
      </c>
      <c r="B91" s="11">
        <v>3</v>
      </c>
      <c r="C91" s="10" t="s">
        <v>339</v>
      </c>
      <c r="D91" s="19">
        <v>4</v>
      </c>
      <c r="E91" s="17" t="s">
        <v>335</v>
      </c>
      <c r="F91" s="19" t="str">
        <f t="shared" si="2"/>
        <v>3_12</v>
      </c>
      <c r="G91" s="19">
        <v>12</v>
      </c>
      <c r="H91" s="2" t="s">
        <v>310</v>
      </c>
      <c r="I91" s="18" t="b">
        <v>0</v>
      </c>
      <c r="J91" s="19">
        <v>1</v>
      </c>
      <c r="K91" s="6" t="s">
        <v>19</v>
      </c>
      <c r="L91" s="18" t="str">
        <f t="shared" si="3"/>
        <v>3_12_A</v>
      </c>
      <c r="M91" s="1" t="s">
        <v>250</v>
      </c>
      <c r="N91" s="10" t="s">
        <v>295</v>
      </c>
      <c r="O91" s="10" t="s">
        <v>328</v>
      </c>
      <c r="R91" s="18">
        <v>1</v>
      </c>
    </row>
    <row r="92" spans="1:18" ht="45" hidden="1" x14ac:dyDescent="0.25">
      <c r="A92" s="18">
        <v>91</v>
      </c>
      <c r="B92" s="11">
        <v>3</v>
      </c>
      <c r="C92" s="10" t="s">
        <v>339</v>
      </c>
      <c r="D92" s="19">
        <v>4</v>
      </c>
      <c r="E92" s="17" t="s">
        <v>335</v>
      </c>
      <c r="F92" s="19" t="str">
        <f t="shared" si="2"/>
        <v>3_12</v>
      </c>
      <c r="G92" s="19">
        <v>12</v>
      </c>
      <c r="H92" s="2" t="s">
        <v>310</v>
      </c>
      <c r="I92" s="18" t="b">
        <v>0</v>
      </c>
      <c r="J92" s="19">
        <v>1</v>
      </c>
      <c r="K92" s="6" t="s">
        <v>21</v>
      </c>
      <c r="L92" s="18" t="str">
        <f t="shared" si="3"/>
        <v>3_12_B</v>
      </c>
      <c r="M92" s="1" t="s">
        <v>329</v>
      </c>
      <c r="N92" s="15" t="s">
        <v>296</v>
      </c>
      <c r="O92" s="10" t="s">
        <v>330</v>
      </c>
      <c r="R92" s="18">
        <v>1</v>
      </c>
    </row>
    <row r="93" spans="1:18" ht="60" hidden="1" x14ac:dyDescent="0.25">
      <c r="A93" s="18">
        <v>92</v>
      </c>
      <c r="B93" s="11">
        <v>3</v>
      </c>
      <c r="C93" s="10" t="s">
        <v>339</v>
      </c>
      <c r="D93" s="19">
        <v>4</v>
      </c>
      <c r="E93" s="17" t="s">
        <v>335</v>
      </c>
      <c r="F93" s="19" t="str">
        <f t="shared" si="2"/>
        <v>3_12</v>
      </c>
      <c r="G93" s="19">
        <v>12</v>
      </c>
      <c r="H93" s="2" t="s">
        <v>310</v>
      </c>
      <c r="I93" s="18" t="b">
        <v>0</v>
      </c>
      <c r="J93" s="19">
        <v>1</v>
      </c>
      <c r="K93" s="6" t="s">
        <v>23</v>
      </c>
      <c r="L93" s="18" t="str">
        <f t="shared" si="3"/>
        <v>3_12_C</v>
      </c>
      <c r="M93" s="1" t="s">
        <v>251</v>
      </c>
      <c r="N93" s="10" t="s">
        <v>297</v>
      </c>
      <c r="O93" s="10" t="s">
        <v>331</v>
      </c>
      <c r="R93" s="18">
        <v>1</v>
      </c>
    </row>
    <row r="94" spans="1:18" ht="45" hidden="1" x14ac:dyDescent="0.25">
      <c r="A94" s="18">
        <v>93</v>
      </c>
      <c r="B94" s="11">
        <v>3</v>
      </c>
      <c r="C94" s="10" t="s">
        <v>339</v>
      </c>
      <c r="D94" s="19">
        <v>4</v>
      </c>
      <c r="E94" s="17" t="s">
        <v>335</v>
      </c>
      <c r="F94" s="19" t="str">
        <f t="shared" si="2"/>
        <v>3_12</v>
      </c>
      <c r="G94" s="19">
        <v>12</v>
      </c>
      <c r="H94" s="2" t="s">
        <v>310</v>
      </c>
      <c r="I94" s="18" t="b">
        <v>0</v>
      </c>
      <c r="J94" s="19">
        <v>1</v>
      </c>
      <c r="K94" s="19" t="s">
        <v>25</v>
      </c>
      <c r="L94" s="18" t="str">
        <f t="shared" si="3"/>
        <v>3_12_D</v>
      </c>
      <c r="M94" s="1" t="s">
        <v>252</v>
      </c>
      <c r="N94" s="10" t="s">
        <v>332</v>
      </c>
      <c r="O94" s="10"/>
      <c r="R94" s="18">
        <v>1</v>
      </c>
    </row>
    <row r="95" spans="1:18" ht="30" hidden="1" x14ac:dyDescent="0.25">
      <c r="A95" s="18">
        <v>94</v>
      </c>
      <c r="B95" s="11">
        <v>3</v>
      </c>
      <c r="C95" s="10" t="s">
        <v>339</v>
      </c>
      <c r="D95" s="19">
        <v>4</v>
      </c>
      <c r="E95" s="17" t="s">
        <v>335</v>
      </c>
      <c r="F95" s="19" t="str">
        <f t="shared" si="2"/>
        <v>3_12</v>
      </c>
      <c r="G95" s="19">
        <v>12</v>
      </c>
      <c r="H95" s="2" t="s">
        <v>310</v>
      </c>
      <c r="I95" s="18" t="b">
        <v>0</v>
      </c>
      <c r="J95" s="19">
        <v>1</v>
      </c>
      <c r="K95" s="6" t="s">
        <v>31</v>
      </c>
      <c r="L95" s="18" t="str">
        <f t="shared" si="3"/>
        <v>3_12_OTHER</v>
      </c>
      <c r="M95" s="8" t="s">
        <v>32</v>
      </c>
      <c r="N95" s="10"/>
      <c r="O95" s="10"/>
      <c r="R95" s="18">
        <v>1</v>
      </c>
    </row>
    <row r="96" spans="1:18" ht="75" x14ac:dyDescent="0.25">
      <c r="A96" s="18">
        <v>95</v>
      </c>
      <c r="B96" s="11">
        <v>3</v>
      </c>
      <c r="C96" s="10" t="s">
        <v>339</v>
      </c>
      <c r="D96" s="19">
        <v>4</v>
      </c>
      <c r="E96" s="17" t="s">
        <v>335</v>
      </c>
      <c r="F96" s="19" t="str">
        <f t="shared" si="2"/>
        <v>3_13</v>
      </c>
      <c r="G96" s="19">
        <v>13</v>
      </c>
      <c r="H96" s="2" t="s">
        <v>314</v>
      </c>
      <c r="I96" s="18" t="b">
        <v>0</v>
      </c>
      <c r="J96" s="19">
        <v>1</v>
      </c>
      <c r="K96" s="6" t="s">
        <v>19</v>
      </c>
      <c r="L96" s="18" t="str">
        <f t="shared" si="3"/>
        <v>3_13_A</v>
      </c>
      <c r="M96" s="2" t="s">
        <v>253</v>
      </c>
      <c r="N96" s="10" t="s">
        <v>313</v>
      </c>
      <c r="O96" s="10"/>
      <c r="R96" s="18">
        <v>1</v>
      </c>
    </row>
    <row r="97" spans="1:18" ht="75" hidden="1" x14ac:dyDescent="0.25">
      <c r="A97" s="18">
        <v>96</v>
      </c>
      <c r="B97" s="11">
        <v>3</v>
      </c>
      <c r="C97" s="10" t="s">
        <v>339</v>
      </c>
      <c r="D97" s="19">
        <v>4</v>
      </c>
      <c r="E97" s="17" t="s">
        <v>335</v>
      </c>
      <c r="F97" s="19" t="str">
        <f t="shared" si="2"/>
        <v>3_13</v>
      </c>
      <c r="G97" s="19">
        <v>13</v>
      </c>
      <c r="H97" s="2" t="s">
        <v>314</v>
      </c>
      <c r="I97" s="18" t="b">
        <v>0</v>
      </c>
      <c r="J97" s="19">
        <v>1</v>
      </c>
      <c r="K97" s="6" t="s">
        <v>21</v>
      </c>
      <c r="L97" s="18" t="str">
        <f t="shared" si="3"/>
        <v>3_13_B</v>
      </c>
      <c r="M97" s="2" t="s">
        <v>254</v>
      </c>
      <c r="N97" s="10" t="s">
        <v>312</v>
      </c>
      <c r="O97" s="10"/>
      <c r="R97" s="18">
        <v>1</v>
      </c>
    </row>
    <row r="98" spans="1:18" ht="45" hidden="1" x14ac:dyDescent="0.25">
      <c r="A98" s="18">
        <v>97</v>
      </c>
      <c r="B98" s="11">
        <v>3</v>
      </c>
      <c r="C98" s="10" t="s">
        <v>339</v>
      </c>
      <c r="D98" s="19">
        <v>4</v>
      </c>
      <c r="E98" s="17" t="s">
        <v>335</v>
      </c>
      <c r="F98" s="19" t="str">
        <f t="shared" si="2"/>
        <v>3_13</v>
      </c>
      <c r="G98" s="19">
        <v>13</v>
      </c>
      <c r="H98" s="2" t="s">
        <v>314</v>
      </c>
      <c r="I98" s="18" t="b">
        <v>0</v>
      </c>
      <c r="J98" s="19">
        <v>1</v>
      </c>
      <c r="K98" s="6" t="s">
        <v>23</v>
      </c>
      <c r="L98" s="18" t="str">
        <f t="shared" si="3"/>
        <v>3_13_C</v>
      </c>
      <c r="M98" s="2" t="s">
        <v>255</v>
      </c>
      <c r="N98" s="10" t="s">
        <v>334</v>
      </c>
      <c r="O98" s="10" t="s">
        <v>333</v>
      </c>
      <c r="R98" s="18">
        <v>1</v>
      </c>
    </row>
    <row r="99" spans="1:18" ht="60" hidden="1" x14ac:dyDescent="0.25">
      <c r="A99" s="18">
        <v>98</v>
      </c>
      <c r="B99" s="11">
        <v>3</v>
      </c>
      <c r="C99" s="10" t="s">
        <v>339</v>
      </c>
      <c r="D99" s="19">
        <v>4</v>
      </c>
      <c r="E99" s="17" t="s">
        <v>335</v>
      </c>
      <c r="F99" s="19" t="str">
        <f t="shared" si="2"/>
        <v>3_13</v>
      </c>
      <c r="G99" s="19">
        <v>13</v>
      </c>
      <c r="H99" s="2" t="s">
        <v>314</v>
      </c>
      <c r="I99" s="18" t="b">
        <v>0</v>
      </c>
      <c r="J99" s="19">
        <v>1</v>
      </c>
      <c r="K99" s="19" t="s">
        <v>25</v>
      </c>
      <c r="L99" s="18" t="str">
        <f t="shared" si="3"/>
        <v>3_13_D</v>
      </c>
      <c r="M99" s="2" t="s">
        <v>256</v>
      </c>
      <c r="N99" s="10" t="s">
        <v>311</v>
      </c>
      <c r="O99" s="10"/>
      <c r="R99" s="18">
        <v>1</v>
      </c>
    </row>
    <row r="100" spans="1:18" ht="30" hidden="1" x14ac:dyDescent="0.25">
      <c r="A100" s="18">
        <v>99</v>
      </c>
      <c r="B100" s="11">
        <v>3</v>
      </c>
      <c r="C100" s="10" t="s">
        <v>339</v>
      </c>
      <c r="D100" s="19">
        <v>4</v>
      </c>
      <c r="E100" s="17" t="s">
        <v>335</v>
      </c>
      <c r="F100" s="19" t="str">
        <f t="shared" si="2"/>
        <v>3_13</v>
      </c>
      <c r="G100" s="19">
        <v>13</v>
      </c>
      <c r="H100" s="2" t="s">
        <v>314</v>
      </c>
      <c r="I100" s="18" t="b">
        <v>0</v>
      </c>
      <c r="J100" s="19">
        <v>1</v>
      </c>
      <c r="K100" s="6" t="s">
        <v>31</v>
      </c>
      <c r="L100" s="18" t="str">
        <f t="shared" si="3"/>
        <v>3_13_OTHER</v>
      </c>
      <c r="M100" s="8" t="s">
        <v>32</v>
      </c>
      <c r="N100" s="10"/>
      <c r="O100" s="10"/>
      <c r="R100" s="18">
        <v>1</v>
      </c>
    </row>
    <row r="101" spans="1:18" ht="60" x14ac:dyDescent="0.25">
      <c r="A101" s="18">
        <v>100</v>
      </c>
      <c r="B101" s="11">
        <v>3</v>
      </c>
      <c r="C101" s="10" t="s">
        <v>339</v>
      </c>
      <c r="D101" s="19">
        <v>4</v>
      </c>
      <c r="E101" s="17" t="s">
        <v>335</v>
      </c>
      <c r="F101" s="19" t="str">
        <f t="shared" si="2"/>
        <v>3_14</v>
      </c>
      <c r="G101" s="19">
        <v>14</v>
      </c>
      <c r="H101" s="2" t="s">
        <v>315</v>
      </c>
      <c r="I101" s="18" t="b">
        <v>0</v>
      </c>
      <c r="J101" s="19">
        <v>1</v>
      </c>
      <c r="K101" s="6" t="s">
        <v>19</v>
      </c>
      <c r="L101" s="18" t="str">
        <f t="shared" si="3"/>
        <v>3_14_A</v>
      </c>
      <c r="M101" s="2" t="s">
        <v>257</v>
      </c>
      <c r="N101" s="10" t="s">
        <v>468</v>
      </c>
      <c r="O101" s="10"/>
      <c r="R101" s="18">
        <v>1</v>
      </c>
    </row>
    <row r="102" spans="1:18" ht="45" hidden="1" x14ac:dyDescent="0.25">
      <c r="A102" s="18">
        <v>101</v>
      </c>
      <c r="B102" s="11">
        <v>3</v>
      </c>
      <c r="C102" s="10" t="s">
        <v>339</v>
      </c>
      <c r="D102" s="19">
        <v>4</v>
      </c>
      <c r="E102" s="17" t="s">
        <v>335</v>
      </c>
      <c r="F102" s="19" t="str">
        <f t="shared" si="2"/>
        <v>3_14</v>
      </c>
      <c r="G102" s="19">
        <v>14</v>
      </c>
      <c r="H102" s="2" t="s">
        <v>315</v>
      </c>
      <c r="I102" s="18" t="b">
        <v>0</v>
      </c>
      <c r="J102" s="19">
        <v>1</v>
      </c>
      <c r="K102" s="6" t="s">
        <v>21</v>
      </c>
      <c r="L102" s="18" t="str">
        <f t="shared" si="3"/>
        <v>3_14_B</v>
      </c>
      <c r="M102" s="2" t="s">
        <v>258</v>
      </c>
      <c r="N102" s="10" t="s">
        <v>319</v>
      </c>
      <c r="O102" s="10"/>
      <c r="R102" s="18">
        <v>1</v>
      </c>
    </row>
    <row r="103" spans="1:18" ht="60" hidden="1" x14ac:dyDescent="0.25">
      <c r="A103" s="18">
        <v>102</v>
      </c>
      <c r="B103" s="11">
        <v>3</v>
      </c>
      <c r="C103" s="10" t="s">
        <v>339</v>
      </c>
      <c r="D103" s="19">
        <v>4</v>
      </c>
      <c r="E103" s="17" t="s">
        <v>335</v>
      </c>
      <c r="F103" s="19" t="str">
        <f t="shared" si="2"/>
        <v>3_14</v>
      </c>
      <c r="G103" s="19">
        <v>14</v>
      </c>
      <c r="H103" s="2" t="s">
        <v>315</v>
      </c>
      <c r="I103" s="18" t="b">
        <v>0</v>
      </c>
      <c r="J103" s="19">
        <v>1</v>
      </c>
      <c r="K103" s="6" t="s">
        <v>23</v>
      </c>
      <c r="L103" s="18" t="str">
        <f t="shared" si="3"/>
        <v>3_14_C</v>
      </c>
      <c r="M103" s="2" t="s">
        <v>259</v>
      </c>
      <c r="N103" s="10" t="s">
        <v>318</v>
      </c>
      <c r="O103" s="10"/>
      <c r="R103" s="18">
        <v>1</v>
      </c>
    </row>
    <row r="104" spans="1:18" ht="45" hidden="1" x14ac:dyDescent="0.25">
      <c r="A104" s="18">
        <v>103</v>
      </c>
      <c r="B104" s="11">
        <v>3</v>
      </c>
      <c r="C104" s="10" t="s">
        <v>339</v>
      </c>
      <c r="D104" s="19">
        <v>4</v>
      </c>
      <c r="E104" s="17" t="s">
        <v>335</v>
      </c>
      <c r="F104" s="19" t="str">
        <f t="shared" si="2"/>
        <v>3_14</v>
      </c>
      <c r="G104" s="19">
        <v>14</v>
      </c>
      <c r="H104" s="2" t="s">
        <v>315</v>
      </c>
      <c r="I104" s="18" t="b">
        <v>0</v>
      </c>
      <c r="J104" s="19">
        <v>1</v>
      </c>
      <c r="K104" s="19" t="s">
        <v>25</v>
      </c>
      <c r="L104" s="18" t="str">
        <f t="shared" si="3"/>
        <v>3_14_D</v>
      </c>
      <c r="M104" s="2" t="s">
        <v>260</v>
      </c>
      <c r="N104" s="10" t="s">
        <v>298</v>
      </c>
      <c r="O104" s="10"/>
      <c r="R104" s="18">
        <v>1</v>
      </c>
    </row>
    <row r="105" spans="1:18" ht="45" hidden="1" x14ac:dyDescent="0.25">
      <c r="A105" s="18">
        <v>104</v>
      </c>
      <c r="B105" s="11">
        <v>3</v>
      </c>
      <c r="C105" s="10" t="s">
        <v>339</v>
      </c>
      <c r="D105" s="19">
        <v>4</v>
      </c>
      <c r="E105" s="17" t="s">
        <v>335</v>
      </c>
      <c r="F105" s="19" t="str">
        <f t="shared" si="2"/>
        <v>3_14</v>
      </c>
      <c r="G105" s="19">
        <v>14</v>
      </c>
      <c r="H105" s="2" t="s">
        <v>315</v>
      </c>
      <c r="I105" s="18" t="b">
        <v>0</v>
      </c>
      <c r="J105" s="19">
        <v>1</v>
      </c>
      <c r="K105" s="6" t="s">
        <v>31</v>
      </c>
      <c r="L105" s="18" t="str">
        <f t="shared" si="3"/>
        <v>3_14_OTHER</v>
      </c>
      <c r="M105" s="8" t="s">
        <v>32</v>
      </c>
      <c r="N105" s="10"/>
      <c r="O105" s="10"/>
      <c r="R105" s="18">
        <v>1</v>
      </c>
    </row>
    <row r="106" spans="1:18" ht="72.75" customHeight="1" x14ac:dyDescent="0.25">
      <c r="A106" s="18">
        <v>105</v>
      </c>
      <c r="B106" s="11">
        <v>3</v>
      </c>
      <c r="C106" s="10" t="s">
        <v>339</v>
      </c>
      <c r="D106" s="19">
        <v>4</v>
      </c>
      <c r="E106" s="17" t="s">
        <v>335</v>
      </c>
      <c r="F106" s="19" t="str">
        <f t="shared" si="2"/>
        <v>3_15</v>
      </c>
      <c r="G106" s="19">
        <v>15</v>
      </c>
      <c r="H106" s="2" t="s">
        <v>320</v>
      </c>
      <c r="I106" s="18" t="b">
        <v>0</v>
      </c>
      <c r="J106" s="19">
        <v>1</v>
      </c>
      <c r="K106" s="6" t="s">
        <v>19</v>
      </c>
      <c r="L106" s="18" t="str">
        <f t="shared" si="3"/>
        <v>3_15_A</v>
      </c>
      <c r="M106" s="2" t="s">
        <v>264</v>
      </c>
      <c r="N106" s="10" t="s">
        <v>316</v>
      </c>
      <c r="O106" s="10"/>
      <c r="R106" s="18">
        <v>1</v>
      </c>
    </row>
    <row r="107" spans="1:18" ht="60" hidden="1" x14ac:dyDescent="0.25">
      <c r="A107" s="18">
        <v>106</v>
      </c>
      <c r="B107" s="11">
        <v>3</v>
      </c>
      <c r="C107" s="10" t="s">
        <v>339</v>
      </c>
      <c r="D107" s="19">
        <v>4</v>
      </c>
      <c r="E107" s="17" t="s">
        <v>335</v>
      </c>
      <c r="F107" s="19" t="str">
        <f t="shared" si="2"/>
        <v>3_15</v>
      </c>
      <c r="G107" s="19">
        <v>15</v>
      </c>
      <c r="H107" s="2" t="s">
        <v>320</v>
      </c>
      <c r="I107" s="18" t="b">
        <v>0</v>
      </c>
      <c r="J107" s="19">
        <v>1</v>
      </c>
      <c r="K107" s="6" t="s">
        <v>21</v>
      </c>
      <c r="L107" s="18" t="str">
        <f t="shared" si="3"/>
        <v>3_15_B</v>
      </c>
      <c r="M107" s="2" t="s">
        <v>261</v>
      </c>
      <c r="N107" s="10" t="s">
        <v>299</v>
      </c>
      <c r="O107" s="10"/>
      <c r="R107" s="18">
        <v>1</v>
      </c>
    </row>
    <row r="108" spans="1:18" ht="45" hidden="1" x14ac:dyDescent="0.25">
      <c r="A108" s="18">
        <v>107</v>
      </c>
      <c r="B108" s="11">
        <v>3</v>
      </c>
      <c r="C108" s="10" t="s">
        <v>339</v>
      </c>
      <c r="D108" s="19">
        <v>4</v>
      </c>
      <c r="E108" s="17" t="s">
        <v>335</v>
      </c>
      <c r="F108" s="19" t="str">
        <f t="shared" si="2"/>
        <v>3_15</v>
      </c>
      <c r="G108" s="19">
        <v>15</v>
      </c>
      <c r="H108" s="2" t="s">
        <v>320</v>
      </c>
      <c r="I108" s="18" t="b">
        <v>0</v>
      </c>
      <c r="J108" s="19">
        <v>1</v>
      </c>
      <c r="K108" s="6" t="s">
        <v>23</v>
      </c>
      <c r="L108" s="18" t="str">
        <f t="shared" si="3"/>
        <v>3_15_C</v>
      </c>
      <c r="M108" s="2" t="s">
        <v>262</v>
      </c>
      <c r="N108" s="10" t="s">
        <v>317</v>
      </c>
      <c r="O108" s="10"/>
      <c r="R108" s="18">
        <v>1</v>
      </c>
    </row>
    <row r="109" spans="1:18" ht="45" hidden="1" x14ac:dyDescent="0.25">
      <c r="A109" s="18">
        <v>108</v>
      </c>
      <c r="B109" s="11">
        <v>3</v>
      </c>
      <c r="C109" s="10" t="s">
        <v>339</v>
      </c>
      <c r="D109" s="19">
        <v>4</v>
      </c>
      <c r="E109" s="17" t="s">
        <v>335</v>
      </c>
      <c r="F109" s="19" t="str">
        <f t="shared" si="2"/>
        <v>3_15</v>
      </c>
      <c r="G109" s="19">
        <v>15</v>
      </c>
      <c r="H109" s="2" t="s">
        <v>320</v>
      </c>
      <c r="I109" s="18" t="b">
        <v>0</v>
      </c>
      <c r="J109" s="19">
        <v>1</v>
      </c>
      <c r="K109" s="19" t="s">
        <v>25</v>
      </c>
      <c r="L109" s="18" t="str">
        <f t="shared" si="3"/>
        <v>3_15_D</v>
      </c>
      <c r="M109" s="2" t="s">
        <v>263</v>
      </c>
      <c r="N109" s="10" t="s">
        <v>321</v>
      </c>
      <c r="O109" s="10"/>
      <c r="R109" s="18">
        <v>1</v>
      </c>
    </row>
    <row r="110" spans="1:18" ht="30" hidden="1" x14ac:dyDescent="0.25">
      <c r="A110" s="18">
        <v>109</v>
      </c>
      <c r="B110" s="11">
        <v>3</v>
      </c>
      <c r="C110" s="10" t="s">
        <v>339</v>
      </c>
      <c r="D110" s="19">
        <v>4</v>
      </c>
      <c r="E110" s="17" t="s">
        <v>335</v>
      </c>
      <c r="F110" s="19" t="str">
        <f t="shared" si="2"/>
        <v>3_15</v>
      </c>
      <c r="G110" s="19">
        <v>15</v>
      </c>
      <c r="H110" s="2" t="s">
        <v>320</v>
      </c>
      <c r="I110" s="18" t="b">
        <v>0</v>
      </c>
      <c r="J110" s="19">
        <v>1</v>
      </c>
      <c r="K110" s="6" t="s">
        <v>31</v>
      </c>
      <c r="L110" s="18" t="str">
        <f t="shared" si="3"/>
        <v>3_15_OTHER</v>
      </c>
      <c r="M110" s="8" t="s">
        <v>32</v>
      </c>
      <c r="N110" s="10"/>
      <c r="O110" s="10"/>
      <c r="R110" s="18">
        <v>1</v>
      </c>
    </row>
    <row r="111" spans="1:18" s="10" customFormat="1" ht="179.25" customHeight="1" x14ac:dyDescent="0.25">
      <c r="A111" s="18">
        <v>110</v>
      </c>
      <c r="B111" s="11">
        <v>4</v>
      </c>
      <c r="C111" s="14" t="s">
        <v>414</v>
      </c>
      <c r="D111" s="11">
        <v>1</v>
      </c>
      <c r="E111" s="10" t="s">
        <v>469</v>
      </c>
      <c r="F111" s="19" t="str">
        <f t="shared" si="2"/>
        <v>4_1</v>
      </c>
      <c r="G111" s="11">
        <v>1</v>
      </c>
      <c r="H111" s="14" t="s">
        <v>182</v>
      </c>
      <c r="I111" s="10" t="b">
        <v>0</v>
      </c>
      <c r="J111" s="11">
        <v>1</v>
      </c>
      <c r="K111" s="11" t="s">
        <v>19</v>
      </c>
      <c r="L111" s="18" t="str">
        <f t="shared" si="3"/>
        <v>4_1_A</v>
      </c>
      <c r="M111" s="14" t="s">
        <v>183</v>
      </c>
      <c r="N111" s="14" t="s">
        <v>184</v>
      </c>
      <c r="O111" s="14" t="s">
        <v>470</v>
      </c>
      <c r="R111" s="18">
        <v>1</v>
      </c>
    </row>
    <row r="112" spans="1:18" s="10" customFormat="1" ht="219.75" hidden="1" customHeight="1" x14ac:dyDescent="0.25">
      <c r="A112" s="18">
        <v>111</v>
      </c>
      <c r="B112" s="11">
        <v>4</v>
      </c>
      <c r="C112" s="14" t="s">
        <v>414</v>
      </c>
      <c r="D112" s="11">
        <v>1</v>
      </c>
      <c r="E112" s="10" t="s">
        <v>469</v>
      </c>
      <c r="F112" s="19" t="str">
        <f t="shared" si="2"/>
        <v>4_1</v>
      </c>
      <c r="G112" s="11">
        <v>1</v>
      </c>
      <c r="H112" s="14" t="s">
        <v>182</v>
      </c>
      <c r="I112" s="10" t="b">
        <v>0</v>
      </c>
      <c r="J112" s="11">
        <v>1</v>
      </c>
      <c r="K112" s="11" t="s">
        <v>21</v>
      </c>
      <c r="L112" s="18" t="str">
        <f t="shared" si="3"/>
        <v>4_1_B</v>
      </c>
      <c r="M112" s="14" t="s">
        <v>144</v>
      </c>
      <c r="N112" s="14" t="s">
        <v>185</v>
      </c>
      <c r="O112" s="14" t="s">
        <v>471</v>
      </c>
      <c r="R112" s="18">
        <v>1</v>
      </c>
    </row>
    <row r="113" spans="1:18" s="10" customFormat="1" ht="133.5" hidden="1" customHeight="1" x14ac:dyDescent="0.25">
      <c r="A113" s="18">
        <v>112</v>
      </c>
      <c r="B113" s="11">
        <v>4</v>
      </c>
      <c r="C113" s="14" t="s">
        <v>414</v>
      </c>
      <c r="D113" s="11">
        <v>1</v>
      </c>
      <c r="E113" s="10" t="s">
        <v>469</v>
      </c>
      <c r="F113" s="19" t="str">
        <f t="shared" si="2"/>
        <v>4_1</v>
      </c>
      <c r="G113" s="11">
        <v>1</v>
      </c>
      <c r="H113" s="14" t="s">
        <v>182</v>
      </c>
      <c r="I113" s="10" t="b">
        <v>0</v>
      </c>
      <c r="J113" s="11">
        <v>1</v>
      </c>
      <c r="K113" s="11" t="s">
        <v>23</v>
      </c>
      <c r="L113" s="18" t="str">
        <f t="shared" si="3"/>
        <v>4_1_C</v>
      </c>
      <c r="M113" s="14" t="s">
        <v>146</v>
      </c>
      <c r="N113" s="14" t="s">
        <v>186</v>
      </c>
      <c r="O113" s="14" t="s">
        <v>472</v>
      </c>
      <c r="R113" s="18">
        <v>1</v>
      </c>
    </row>
    <row r="114" spans="1:18" s="10" customFormat="1" ht="54" hidden="1" customHeight="1" x14ac:dyDescent="0.25">
      <c r="A114" s="18">
        <v>113</v>
      </c>
      <c r="B114" s="11">
        <v>4</v>
      </c>
      <c r="C114" s="14" t="s">
        <v>414</v>
      </c>
      <c r="D114" s="11">
        <v>1</v>
      </c>
      <c r="E114" s="10" t="s">
        <v>469</v>
      </c>
      <c r="F114" s="19" t="str">
        <f t="shared" si="2"/>
        <v>4_1</v>
      </c>
      <c r="G114" s="11">
        <v>1</v>
      </c>
      <c r="H114" s="14" t="s">
        <v>182</v>
      </c>
      <c r="I114" s="10" t="b">
        <v>0</v>
      </c>
      <c r="J114" s="11">
        <v>1</v>
      </c>
      <c r="K114" s="11" t="s">
        <v>25</v>
      </c>
      <c r="L114" s="18" t="str">
        <f t="shared" si="3"/>
        <v>4_1_D</v>
      </c>
      <c r="M114" s="14" t="s">
        <v>187</v>
      </c>
      <c r="N114" s="14" t="s">
        <v>188</v>
      </c>
      <c r="O114" s="14" t="s">
        <v>473</v>
      </c>
      <c r="R114" s="18">
        <v>1</v>
      </c>
    </row>
    <row r="115" spans="1:18" s="8" customFormat="1" ht="45" x14ac:dyDescent="0.25">
      <c r="A115" s="18">
        <v>114</v>
      </c>
      <c r="B115" s="11">
        <v>4</v>
      </c>
      <c r="C115" s="14" t="s">
        <v>414</v>
      </c>
      <c r="D115" s="11">
        <v>1</v>
      </c>
      <c r="E115" s="10" t="s">
        <v>469</v>
      </c>
      <c r="F115" s="19" t="str">
        <f t="shared" si="2"/>
        <v>4_2</v>
      </c>
      <c r="G115" s="6">
        <v>2</v>
      </c>
      <c r="H115" s="7" t="s">
        <v>189</v>
      </c>
      <c r="I115" s="10" t="b">
        <v>0</v>
      </c>
      <c r="J115" s="11">
        <v>1</v>
      </c>
      <c r="K115" s="6" t="s">
        <v>19</v>
      </c>
      <c r="L115" s="18" t="str">
        <f t="shared" si="3"/>
        <v>4_2_A</v>
      </c>
      <c r="M115" s="7" t="s">
        <v>190</v>
      </c>
      <c r="N115" s="7" t="s">
        <v>191</v>
      </c>
      <c r="O115" s="7" t="s">
        <v>474</v>
      </c>
      <c r="R115" s="18">
        <v>1</v>
      </c>
    </row>
    <row r="116" spans="1:18" s="8" customFormat="1" ht="45" hidden="1" x14ac:dyDescent="0.25">
      <c r="A116" s="18">
        <v>115</v>
      </c>
      <c r="B116" s="11">
        <v>4</v>
      </c>
      <c r="C116" s="14" t="s">
        <v>414</v>
      </c>
      <c r="D116" s="11">
        <v>1</v>
      </c>
      <c r="E116" s="10" t="s">
        <v>469</v>
      </c>
      <c r="F116" s="19" t="str">
        <f t="shared" si="2"/>
        <v>4_2</v>
      </c>
      <c r="G116" s="6">
        <v>2</v>
      </c>
      <c r="H116" s="7" t="s">
        <v>189</v>
      </c>
      <c r="I116" s="10" t="b">
        <v>0</v>
      </c>
      <c r="J116" s="11">
        <v>1</v>
      </c>
      <c r="K116" s="6" t="s">
        <v>21</v>
      </c>
      <c r="L116" s="18" t="str">
        <f t="shared" si="3"/>
        <v>4_2_B</v>
      </c>
      <c r="M116" s="7" t="s">
        <v>192</v>
      </c>
      <c r="N116" s="7" t="s">
        <v>193</v>
      </c>
      <c r="O116" s="7" t="s">
        <v>475</v>
      </c>
      <c r="R116" s="18">
        <v>1</v>
      </c>
    </row>
    <row r="117" spans="1:18" s="8" customFormat="1" ht="30" hidden="1" x14ac:dyDescent="0.25">
      <c r="A117" s="18">
        <v>116</v>
      </c>
      <c r="B117" s="11">
        <v>4</v>
      </c>
      <c r="C117" s="14" t="s">
        <v>414</v>
      </c>
      <c r="D117" s="11">
        <v>1</v>
      </c>
      <c r="E117" s="10" t="s">
        <v>469</v>
      </c>
      <c r="F117" s="19" t="str">
        <f t="shared" si="2"/>
        <v>4_2</v>
      </c>
      <c r="G117" s="6">
        <v>2</v>
      </c>
      <c r="H117" s="7" t="s">
        <v>189</v>
      </c>
      <c r="I117" s="10" t="b">
        <v>0</v>
      </c>
      <c r="J117" s="11">
        <v>1</v>
      </c>
      <c r="K117" s="6" t="s">
        <v>23</v>
      </c>
      <c r="L117" s="18" t="str">
        <f t="shared" si="3"/>
        <v>4_2_C</v>
      </c>
      <c r="M117" s="7" t="s">
        <v>194</v>
      </c>
      <c r="N117" s="7" t="s">
        <v>195</v>
      </c>
      <c r="O117" s="7" t="s">
        <v>196</v>
      </c>
      <c r="R117" s="18">
        <v>1</v>
      </c>
    </row>
    <row r="118" spans="1:18" s="10" customFormat="1" ht="165" x14ac:dyDescent="0.25">
      <c r="A118" s="18">
        <v>117</v>
      </c>
      <c r="B118" s="11">
        <v>4</v>
      </c>
      <c r="C118" s="14" t="s">
        <v>414</v>
      </c>
      <c r="D118" s="11">
        <v>2</v>
      </c>
      <c r="E118" s="10" t="s">
        <v>440</v>
      </c>
      <c r="F118" s="19" t="str">
        <f t="shared" si="2"/>
        <v>4_3</v>
      </c>
      <c r="G118" s="11">
        <v>3</v>
      </c>
      <c r="H118" s="14" t="s">
        <v>432</v>
      </c>
      <c r="I118" s="10" t="b">
        <v>0</v>
      </c>
      <c r="J118" s="11">
        <v>1</v>
      </c>
      <c r="K118" s="11" t="s">
        <v>19</v>
      </c>
      <c r="L118" s="18" t="str">
        <f t="shared" si="3"/>
        <v>4_3_A</v>
      </c>
      <c r="M118" s="14" t="s">
        <v>198</v>
      </c>
      <c r="N118" s="14" t="s">
        <v>199</v>
      </c>
      <c r="O118" s="14" t="s">
        <v>200</v>
      </c>
      <c r="R118" s="18">
        <v>1</v>
      </c>
    </row>
    <row r="119" spans="1:18" s="10" customFormat="1" ht="195" hidden="1" x14ac:dyDescent="0.25">
      <c r="A119" s="18">
        <v>118</v>
      </c>
      <c r="B119" s="11">
        <v>4</v>
      </c>
      <c r="C119" s="14" t="s">
        <v>414</v>
      </c>
      <c r="D119" s="11">
        <v>2</v>
      </c>
      <c r="E119" s="10" t="s">
        <v>440</v>
      </c>
      <c r="F119" s="19" t="str">
        <f t="shared" si="2"/>
        <v>4_3</v>
      </c>
      <c r="G119" s="11">
        <v>3</v>
      </c>
      <c r="H119" s="14" t="s">
        <v>197</v>
      </c>
      <c r="I119" s="10" t="b">
        <v>0</v>
      </c>
      <c r="J119" s="11">
        <v>1</v>
      </c>
      <c r="K119" s="11" t="s">
        <v>21</v>
      </c>
      <c r="L119" s="18" t="str">
        <f t="shared" si="3"/>
        <v>4_3_B</v>
      </c>
      <c r="M119" s="14" t="s">
        <v>201</v>
      </c>
      <c r="N119" s="14" t="s">
        <v>202</v>
      </c>
      <c r="O119" s="14" t="s">
        <v>476</v>
      </c>
      <c r="R119" s="18">
        <v>1</v>
      </c>
    </row>
    <row r="120" spans="1:18" s="10" customFormat="1" ht="150" hidden="1" x14ac:dyDescent="0.25">
      <c r="A120" s="18">
        <v>119</v>
      </c>
      <c r="B120" s="11">
        <v>4</v>
      </c>
      <c r="C120" s="14" t="s">
        <v>414</v>
      </c>
      <c r="D120" s="11">
        <v>2</v>
      </c>
      <c r="E120" s="10" t="s">
        <v>440</v>
      </c>
      <c r="F120" s="19" t="str">
        <f t="shared" si="2"/>
        <v>4_3</v>
      </c>
      <c r="G120" s="11">
        <v>3</v>
      </c>
      <c r="H120" s="14" t="s">
        <v>197</v>
      </c>
      <c r="I120" s="10" t="b">
        <v>0</v>
      </c>
      <c r="J120" s="11">
        <v>1</v>
      </c>
      <c r="K120" s="11" t="s">
        <v>23</v>
      </c>
      <c r="L120" s="18" t="str">
        <f t="shared" si="3"/>
        <v>4_3_C</v>
      </c>
      <c r="M120" s="14" t="s">
        <v>203</v>
      </c>
      <c r="N120" s="14" t="s">
        <v>204</v>
      </c>
      <c r="O120" s="14" t="s">
        <v>477</v>
      </c>
      <c r="R120" s="18">
        <v>1</v>
      </c>
    </row>
    <row r="121" spans="1:18" s="10" customFormat="1" ht="30" hidden="1" x14ac:dyDescent="0.25">
      <c r="A121" s="18">
        <v>120</v>
      </c>
      <c r="B121" s="11">
        <v>4</v>
      </c>
      <c r="C121" s="14" t="s">
        <v>414</v>
      </c>
      <c r="D121" s="11">
        <v>2</v>
      </c>
      <c r="E121" s="10" t="s">
        <v>440</v>
      </c>
      <c r="F121" s="19" t="str">
        <f t="shared" si="2"/>
        <v>4_3</v>
      </c>
      <c r="G121" s="11">
        <v>3</v>
      </c>
      <c r="H121" s="14" t="s">
        <v>197</v>
      </c>
      <c r="I121" s="10" t="b">
        <v>0</v>
      </c>
      <c r="J121" s="11">
        <v>1</v>
      </c>
      <c r="K121" s="11" t="s">
        <v>31</v>
      </c>
      <c r="L121" s="18" t="str">
        <f t="shared" si="3"/>
        <v>4_3_OTHER</v>
      </c>
      <c r="M121" s="14" t="s">
        <v>32</v>
      </c>
      <c r="N121" s="14"/>
      <c r="O121" s="14"/>
      <c r="R121" s="18">
        <v>1</v>
      </c>
    </row>
    <row r="122" spans="1:18" s="10" customFormat="1" ht="75" x14ac:dyDescent="0.25">
      <c r="A122" s="18">
        <v>121</v>
      </c>
      <c r="B122" s="11">
        <v>4</v>
      </c>
      <c r="C122" s="14" t="s">
        <v>414</v>
      </c>
      <c r="D122" s="11">
        <v>2</v>
      </c>
      <c r="E122" s="10" t="s">
        <v>440</v>
      </c>
      <c r="F122" s="19" t="str">
        <f t="shared" si="2"/>
        <v>4_4</v>
      </c>
      <c r="G122" s="11">
        <v>4</v>
      </c>
      <c r="H122" s="14" t="s">
        <v>433</v>
      </c>
      <c r="I122" s="10" t="b">
        <v>0</v>
      </c>
      <c r="J122" s="11">
        <v>1</v>
      </c>
      <c r="K122" s="11" t="s">
        <v>19</v>
      </c>
      <c r="L122" s="18" t="str">
        <f t="shared" si="3"/>
        <v>4_4_A</v>
      </c>
      <c r="M122" s="10" t="s">
        <v>206</v>
      </c>
      <c r="N122" s="10" t="s">
        <v>207</v>
      </c>
      <c r="O122" s="10" t="s">
        <v>208</v>
      </c>
      <c r="R122" s="18">
        <v>1</v>
      </c>
    </row>
    <row r="123" spans="1:18" s="10" customFormat="1" ht="75" hidden="1" x14ac:dyDescent="0.25">
      <c r="A123" s="18">
        <v>122</v>
      </c>
      <c r="B123" s="11">
        <v>4</v>
      </c>
      <c r="C123" s="14" t="s">
        <v>414</v>
      </c>
      <c r="D123" s="11">
        <v>2</v>
      </c>
      <c r="E123" s="10" t="s">
        <v>440</v>
      </c>
      <c r="F123" s="19" t="str">
        <f t="shared" si="2"/>
        <v>4_4</v>
      </c>
      <c r="G123" s="11">
        <v>4</v>
      </c>
      <c r="H123" s="14" t="s">
        <v>205</v>
      </c>
      <c r="I123" s="10" t="b">
        <v>0</v>
      </c>
      <c r="J123" s="11">
        <v>1</v>
      </c>
      <c r="K123" s="11" t="s">
        <v>21</v>
      </c>
      <c r="L123" s="18" t="str">
        <f t="shared" si="3"/>
        <v>4_4_B</v>
      </c>
      <c r="M123" s="10" t="s">
        <v>209</v>
      </c>
      <c r="N123" s="10" t="s">
        <v>210</v>
      </c>
      <c r="O123" s="10" t="s">
        <v>211</v>
      </c>
      <c r="R123" s="18">
        <v>1</v>
      </c>
    </row>
    <row r="124" spans="1:18" s="10" customFormat="1" ht="75" x14ac:dyDescent="0.25">
      <c r="A124" s="18">
        <v>123</v>
      </c>
      <c r="B124" s="11">
        <v>5</v>
      </c>
      <c r="C124" s="10" t="s">
        <v>443</v>
      </c>
      <c r="D124" s="11">
        <v>1</v>
      </c>
      <c r="E124" s="10" t="s">
        <v>441</v>
      </c>
      <c r="F124" s="19" t="str">
        <f t="shared" si="2"/>
        <v>5_1</v>
      </c>
      <c r="G124" s="11">
        <v>1</v>
      </c>
      <c r="H124" s="10" t="s">
        <v>212</v>
      </c>
      <c r="I124" s="10" t="b">
        <v>0</v>
      </c>
      <c r="J124" s="11">
        <v>1</v>
      </c>
      <c r="K124" s="11" t="s">
        <v>19</v>
      </c>
      <c r="L124" s="18" t="str">
        <f t="shared" si="3"/>
        <v>5_1_A</v>
      </c>
      <c r="M124" s="14" t="s">
        <v>213</v>
      </c>
      <c r="N124" s="14" t="s">
        <v>496</v>
      </c>
      <c r="O124" s="14" t="s">
        <v>214</v>
      </c>
      <c r="R124" s="18">
        <v>1</v>
      </c>
    </row>
    <row r="125" spans="1:18" s="10" customFormat="1" ht="75" hidden="1" x14ac:dyDescent="0.25">
      <c r="A125" s="18">
        <v>124</v>
      </c>
      <c r="B125" s="11">
        <v>5</v>
      </c>
      <c r="C125" s="10" t="s">
        <v>443</v>
      </c>
      <c r="D125" s="11">
        <v>1</v>
      </c>
      <c r="E125" s="10" t="s">
        <v>441</v>
      </c>
      <c r="F125" s="19" t="str">
        <f t="shared" si="2"/>
        <v>5_1</v>
      </c>
      <c r="G125" s="11">
        <v>1</v>
      </c>
      <c r="H125" s="10" t="s">
        <v>212</v>
      </c>
      <c r="I125" s="10" t="b">
        <v>0</v>
      </c>
      <c r="J125" s="11">
        <v>1</v>
      </c>
      <c r="K125" s="11" t="s">
        <v>21</v>
      </c>
      <c r="L125" s="18" t="str">
        <f t="shared" si="3"/>
        <v>5_1_B</v>
      </c>
      <c r="M125" s="14" t="s">
        <v>215</v>
      </c>
      <c r="N125" s="14" t="s">
        <v>216</v>
      </c>
      <c r="O125" s="14" t="s">
        <v>497</v>
      </c>
      <c r="R125" s="18">
        <v>1</v>
      </c>
    </row>
    <row r="126" spans="1:18" s="10" customFormat="1" ht="75" hidden="1" x14ac:dyDescent="0.25">
      <c r="A126" s="18">
        <v>125</v>
      </c>
      <c r="B126" s="11">
        <v>5</v>
      </c>
      <c r="C126" s="10" t="s">
        <v>443</v>
      </c>
      <c r="D126" s="11">
        <v>1</v>
      </c>
      <c r="E126" s="10" t="s">
        <v>441</v>
      </c>
      <c r="F126" s="19" t="str">
        <f t="shared" si="2"/>
        <v>5_1</v>
      </c>
      <c r="G126" s="11">
        <v>1</v>
      </c>
      <c r="H126" s="10" t="s">
        <v>212</v>
      </c>
      <c r="I126" s="10" t="b">
        <v>0</v>
      </c>
      <c r="J126" s="11">
        <v>1</v>
      </c>
      <c r="K126" s="11" t="s">
        <v>23</v>
      </c>
      <c r="L126" s="18" t="str">
        <f t="shared" si="3"/>
        <v>5_1_C</v>
      </c>
      <c r="M126" s="14" t="s">
        <v>217</v>
      </c>
      <c r="N126" s="14" t="s">
        <v>498</v>
      </c>
      <c r="O126" s="14" t="s">
        <v>218</v>
      </c>
      <c r="R126" s="18">
        <v>1</v>
      </c>
    </row>
    <row r="127" spans="1:18" s="10" customFormat="1" ht="30" hidden="1" x14ac:dyDescent="0.25">
      <c r="A127" s="18">
        <v>126</v>
      </c>
      <c r="B127" s="11">
        <v>5</v>
      </c>
      <c r="C127" s="10" t="s">
        <v>443</v>
      </c>
      <c r="D127" s="11">
        <v>1</v>
      </c>
      <c r="E127" s="10" t="s">
        <v>441</v>
      </c>
      <c r="F127" s="19" t="str">
        <f t="shared" si="2"/>
        <v>5_1</v>
      </c>
      <c r="G127" s="11">
        <v>1</v>
      </c>
      <c r="H127" s="10" t="s">
        <v>212</v>
      </c>
      <c r="I127" s="10" t="b">
        <v>0</v>
      </c>
      <c r="J127" s="11">
        <v>1</v>
      </c>
      <c r="K127" s="11" t="s">
        <v>31</v>
      </c>
      <c r="L127" s="18" t="str">
        <f t="shared" si="3"/>
        <v>5_1_OTHER</v>
      </c>
      <c r="M127" s="14" t="s">
        <v>32</v>
      </c>
      <c r="N127" s="14"/>
      <c r="O127" s="14"/>
      <c r="R127" s="18">
        <v>1</v>
      </c>
    </row>
    <row r="128" spans="1:18" s="10" customFormat="1" ht="90" x14ac:dyDescent="0.25">
      <c r="A128" s="18">
        <v>127</v>
      </c>
      <c r="B128" s="11">
        <v>5</v>
      </c>
      <c r="C128" s="10" t="s">
        <v>443</v>
      </c>
      <c r="D128" s="11">
        <v>1</v>
      </c>
      <c r="E128" s="10" t="s">
        <v>441</v>
      </c>
      <c r="F128" s="19" t="str">
        <f t="shared" si="2"/>
        <v>5_2</v>
      </c>
      <c r="G128" s="11">
        <v>2</v>
      </c>
      <c r="H128" s="10" t="s">
        <v>219</v>
      </c>
      <c r="I128" s="10" t="b">
        <v>0</v>
      </c>
      <c r="J128" s="11">
        <v>1</v>
      </c>
      <c r="K128" s="11" t="s">
        <v>19</v>
      </c>
      <c r="L128" s="18" t="str">
        <f t="shared" si="3"/>
        <v>5_2_A</v>
      </c>
      <c r="M128" s="14" t="s">
        <v>220</v>
      </c>
      <c r="N128" s="14" t="s">
        <v>221</v>
      </c>
      <c r="O128" s="14" t="s">
        <v>222</v>
      </c>
      <c r="R128" s="18">
        <v>1</v>
      </c>
    </row>
    <row r="129" spans="1:18" s="10" customFormat="1" ht="90" hidden="1" x14ac:dyDescent="0.25">
      <c r="A129" s="18">
        <v>128</v>
      </c>
      <c r="B129" s="11">
        <v>5</v>
      </c>
      <c r="C129" s="10" t="s">
        <v>443</v>
      </c>
      <c r="D129" s="11">
        <v>1</v>
      </c>
      <c r="E129" s="10" t="s">
        <v>441</v>
      </c>
      <c r="F129" s="19" t="str">
        <f t="shared" si="2"/>
        <v>5_2</v>
      </c>
      <c r="G129" s="11">
        <v>2</v>
      </c>
      <c r="H129" s="10" t="s">
        <v>219</v>
      </c>
      <c r="I129" s="10" t="b">
        <v>0</v>
      </c>
      <c r="J129" s="11">
        <v>1</v>
      </c>
      <c r="K129" s="11" t="s">
        <v>21</v>
      </c>
      <c r="L129" s="18" t="str">
        <f t="shared" si="3"/>
        <v>5_2_B</v>
      </c>
      <c r="M129" s="14" t="s">
        <v>223</v>
      </c>
      <c r="N129" s="14" t="s">
        <v>224</v>
      </c>
      <c r="O129" s="14" t="s">
        <v>225</v>
      </c>
      <c r="R129" s="18">
        <v>1</v>
      </c>
    </row>
    <row r="130" spans="1:18" s="10" customFormat="1" ht="135" hidden="1" x14ac:dyDescent="0.25">
      <c r="A130" s="18">
        <v>129</v>
      </c>
      <c r="B130" s="11">
        <v>5</v>
      </c>
      <c r="C130" s="10" t="s">
        <v>443</v>
      </c>
      <c r="D130" s="11">
        <v>1</v>
      </c>
      <c r="E130" s="10" t="s">
        <v>441</v>
      </c>
      <c r="F130" s="19" t="str">
        <f t="shared" si="2"/>
        <v>5_2</v>
      </c>
      <c r="G130" s="11">
        <v>2</v>
      </c>
      <c r="H130" s="10" t="s">
        <v>219</v>
      </c>
      <c r="I130" s="10" t="b">
        <v>0</v>
      </c>
      <c r="J130" s="11">
        <v>1</v>
      </c>
      <c r="K130" s="11" t="s">
        <v>23</v>
      </c>
      <c r="L130" s="18" t="str">
        <f t="shared" si="3"/>
        <v>5_2_C</v>
      </c>
      <c r="M130" s="14" t="s">
        <v>226</v>
      </c>
      <c r="N130" s="14" t="s">
        <v>227</v>
      </c>
      <c r="O130" s="14" t="s">
        <v>499</v>
      </c>
      <c r="R130" s="18">
        <v>1</v>
      </c>
    </row>
    <row r="131" spans="1:18" s="10" customFormat="1" ht="150" x14ac:dyDescent="0.25">
      <c r="A131" s="18">
        <v>130</v>
      </c>
      <c r="B131" s="11">
        <v>5</v>
      </c>
      <c r="C131" s="10" t="s">
        <v>443</v>
      </c>
      <c r="D131" s="11">
        <v>2</v>
      </c>
      <c r="E131" s="10" t="s">
        <v>442</v>
      </c>
      <c r="F131" s="19" t="str">
        <f t="shared" ref="F131:F137" si="4">_xlfn.CONCAT(B131,"_",G131)</f>
        <v>5_3</v>
      </c>
      <c r="G131" s="11">
        <v>3</v>
      </c>
      <c r="H131" s="10" t="s">
        <v>228</v>
      </c>
      <c r="I131" s="10" t="b">
        <v>0</v>
      </c>
      <c r="J131" s="11">
        <v>1</v>
      </c>
      <c r="K131" s="11" t="s">
        <v>19</v>
      </c>
      <c r="L131" s="18" t="str">
        <f t="shared" ref="L131:L137" si="5">_xlfn.CONCAT(F131,"_",K131)</f>
        <v>5_3_A</v>
      </c>
      <c r="M131" s="14" t="s">
        <v>229</v>
      </c>
      <c r="N131" s="14" t="s">
        <v>230</v>
      </c>
      <c r="O131" s="14" t="s">
        <v>231</v>
      </c>
      <c r="R131" s="18">
        <v>1</v>
      </c>
    </row>
    <row r="132" spans="1:18" s="10" customFormat="1" ht="165" hidden="1" x14ac:dyDescent="0.25">
      <c r="A132" s="18">
        <v>131</v>
      </c>
      <c r="B132" s="11">
        <v>5</v>
      </c>
      <c r="C132" s="10" t="s">
        <v>443</v>
      </c>
      <c r="D132" s="11">
        <v>2</v>
      </c>
      <c r="E132" s="10" t="s">
        <v>442</v>
      </c>
      <c r="F132" s="19" t="str">
        <f t="shared" si="4"/>
        <v>5_3</v>
      </c>
      <c r="G132" s="11">
        <v>3</v>
      </c>
      <c r="H132" s="10" t="s">
        <v>228</v>
      </c>
      <c r="I132" s="10" t="b">
        <v>0</v>
      </c>
      <c r="J132" s="11">
        <v>1</v>
      </c>
      <c r="K132" s="11" t="s">
        <v>21</v>
      </c>
      <c r="L132" s="18" t="str">
        <f t="shared" si="5"/>
        <v>5_3_B</v>
      </c>
      <c r="M132" s="14" t="s">
        <v>232</v>
      </c>
      <c r="N132" s="14" t="s">
        <v>500</v>
      </c>
      <c r="O132" s="14" t="s">
        <v>501</v>
      </c>
      <c r="R132" s="18">
        <v>1</v>
      </c>
    </row>
    <row r="133" spans="1:18" s="10" customFormat="1" ht="90" x14ac:dyDescent="0.25">
      <c r="A133" s="18">
        <v>132</v>
      </c>
      <c r="B133" s="11">
        <v>5</v>
      </c>
      <c r="C133" s="10" t="s">
        <v>443</v>
      </c>
      <c r="D133" s="11">
        <v>2</v>
      </c>
      <c r="E133" s="10" t="s">
        <v>442</v>
      </c>
      <c r="F133" s="19" t="str">
        <f t="shared" si="4"/>
        <v>5_4</v>
      </c>
      <c r="G133" s="11">
        <v>4</v>
      </c>
      <c r="H133" s="10" t="s">
        <v>245</v>
      </c>
      <c r="I133" s="10" t="b">
        <v>0</v>
      </c>
      <c r="J133" s="11">
        <v>1</v>
      </c>
      <c r="K133" s="11" t="s">
        <v>19</v>
      </c>
      <c r="L133" s="18" t="str">
        <f t="shared" si="5"/>
        <v>5_4_A</v>
      </c>
      <c r="M133" s="14" t="s">
        <v>233</v>
      </c>
      <c r="N133" s="14" t="s">
        <v>234</v>
      </c>
      <c r="O133" s="14" t="s">
        <v>235</v>
      </c>
      <c r="R133" s="18">
        <v>1</v>
      </c>
    </row>
    <row r="134" spans="1:18" s="10" customFormat="1" ht="105" hidden="1" x14ac:dyDescent="0.25">
      <c r="A134" s="18">
        <v>133</v>
      </c>
      <c r="B134" s="11">
        <v>5</v>
      </c>
      <c r="C134" s="10" t="s">
        <v>443</v>
      </c>
      <c r="D134" s="11">
        <v>2</v>
      </c>
      <c r="E134" s="10" t="s">
        <v>442</v>
      </c>
      <c r="F134" s="19" t="str">
        <f t="shared" si="4"/>
        <v>5_4</v>
      </c>
      <c r="G134" s="11">
        <v>4</v>
      </c>
      <c r="H134" s="10" t="s">
        <v>245</v>
      </c>
      <c r="I134" s="10" t="b">
        <v>0</v>
      </c>
      <c r="J134" s="11">
        <v>1</v>
      </c>
      <c r="K134" s="11" t="s">
        <v>21</v>
      </c>
      <c r="L134" s="18" t="str">
        <f t="shared" si="5"/>
        <v>5_4_B</v>
      </c>
      <c r="M134" s="14" t="s">
        <v>236</v>
      </c>
      <c r="N134" s="14" t="s">
        <v>237</v>
      </c>
      <c r="O134" s="14" t="s">
        <v>238</v>
      </c>
      <c r="R134" s="18">
        <v>1</v>
      </c>
    </row>
    <row r="135" spans="1:18" s="10" customFormat="1" ht="75" hidden="1" x14ac:dyDescent="0.25">
      <c r="A135" s="18">
        <v>134</v>
      </c>
      <c r="B135" s="11">
        <v>5</v>
      </c>
      <c r="C135" s="10" t="s">
        <v>443</v>
      </c>
      <c r="D135" s="11">
        <v>2</v>
      </c>
      <c r="E135" s="10" t="s">
        <v>442</v>
      </c>
      <c r="F135" s="19" t="str">
        <f t="shared" si="4"/>
        <v>5_4</v>
      </c>
      <c r="G135" s="11">
        <v>4</v>
      </c>
      <c r="H135" s="10" t="s">
        <v>245</v>
      </c>
      <c r="I135" s="10" t="b">
        <v>0</v>
      </c>
      <c r="J135" s="11">
        <v>1</v>
      </c>
      <c r="K135" s="11" t="s">
        <v>23</v>
      </c>
      <c r="L135" s="18" t="str">
        <f t="shared" si="5"/>
        <v>5_4_C</v>
      </c>
      <c r="M135" s="14" t="s">
        <v>239</v>
      </c>
      <c r="N135" s="14" t="s">
        <v>240</v>
      </c>
      <c r="O135" s="14" t="s">
        <v>241</v>
      </c>
      <c r="R135" s="18">
        <v>1</v>
      </c>
    </row>
    <row r="136" spans="1:18" s="10" customFormat="1" ht="120" hidden="1" x14ac:dyDescent="0.25">
      <c r="A136" s="18">
        <v>135</v>
      </c>
      <c r="B136" s="11">
        <v>5</v>
      </c>
      <c r="C136" s="10" t="s">
        <v>443</v>
      </c>
      <c r="D136" s="11">
        <v>2</v>
      </c>
      <c r="E136" s="10" t="s">
        <v>442</v>
      </c>
      <c r="F136" s="19" t="str">
        <f t="shared" si="4"/>
        <v>5_4</v>
      </c>
      <c r="G136" s="11">
        <v>4</v>
      </c>
      <c r="H136" s="10" t="s">
        <v>245</v>
      </c>
      <c r="I136" s="10" t="b">
        <v>0</v>
      </c>
      <c r="J136" s="11">
        <v>1</v>
      </c>
      <c r="K136" s="11" t="s">
        <v>25</v>
      </c>
      <c r="L136" s="18" t="str">
        <f t="shared" si="5"/>
        <v>5_4_D</v>
      </c>
      <c r="M136" s="14" t="s">
        <v>242</v>
      </c>
      <c r="N136" s="14" t="s">
        <v>243</v>
      </c>
      <c r="O136" s="14" t="s">
        <v>244</v>
      </c>
      <c r="R136" s="18">
        <v>1</v>
      </c>
    </row>
    <row r="137" spans="1:18" s="10" customFormat="1" ht="30" hidden="1" x14ac:dyDescent="0.25">
      <c r="A137" s="18">
        <v>136</v>
      </c>
      <c r="B137" s="11">
        <v>5</v>
      </c>
      <c r="C137" s="10" t="s">
        <v>443</v>
      </c>
      <c r="D137" s="11">
        <v>2</v>
      </c>
      <c r="E137" s="10" t="s">
        <v>442</v>
      </c>
      <c r="F137" s="19" t="str">
        <f t="shared" si="4"/>
        <v>5_4</v>
      </c>
      <c r="G137" s="11">
        <v>4</v>
      </c>
      <c r="H137" s="10" t="s">
        <v>245</v>
      </c>
      <c r="I137" s="10" t="b">
        <v>0</v>
      </c>
      <c r="J137" s="11">
        <v>1</v>
      </c>
      <c r="K137" s="11" t="s">
        <v>31</v>
      </c>
      <c r="L137" s="18" t="str">
        <f t="shared" si="5"/>
        <v>5_4_OTHER</v>
      </c>
      <c r="M137" s="10" t="s">
        <v>32</v>
      </c>
      <c r="R137" s="18">
        <v>1</v>
      </c>
    </row>
  </sheetData>
  <autoFilter ref="A1:R137" xr:uid="{10F60608-6C4B-4845-89CB-6736A886E595}">
    <filterColumn colId="10">
      <filters>
        <filter val="A"/>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253C3-AA70-45BC-9620-E799AA93655E}">
  <dimension ref="A1:R21"/>
  <sheetViews>
    <sheetView workbookViewId="0">
      <pane ySplit="1" topLeftCell="A19" activePane="bottomLeft" state="frozen"/>
      <selection pane="bottomLeft" activeCell="A2" sqref="A2:XFD21"/>
    </sheetView>
  </sheetViews>
  <sheetFormatPr defaultRowHeight="15" x14ac:dyDescent="0.25"/>
  <cols>
    <col min="1" max="1" width="9.140625" style="5"/>
    <col min="2" max="2" width="9.42578125" style="5" customWidth="1"/>
    <col min="3" max="3" width="19" style="5" customWidth="1"/>
    <col min="4" max="4" width="9.28515625" style="5" customWidth="1"/>
    <col min="5" max="5" width="16.140625" style="5" customWidth="1"/>
    <col min="6" max="6" width="9" style="5" customWidth="1"/>
    <col min="7" max="7" width="9.140625" style="5"/>
    <col min="8" max="8" width="26.7109375" style="5" customWidth="1"/>
    <col min="9" max="9" width="7.140625" style="5" customWidth="1"/>
    <col min="10" max="10" width="11" style="5" customWidth="1"/>
    <col min="11" max="11" width="7" style="5" customWidth="1"/>
    <col min="12" max="12" width="10.140625" style="5" customWidth="1"/>
    <col min="13" max="13" width="44.140625" style="5" customWidth="1"/>
    <col min="14" max="14" width="38.7109375" style="5" customWidth="1"/>
    <col min="15" max="15" width="44.140625" style="5" customWidth="1"/>
    <col min="16" max="16384" width="9.140625" style="5"/>
  </cols>
  <sheetData>
    <row r="1" spans="1:18" s="3" customFormat="1" ht="45" x14ac:dyDescent="0.25">
      <c r="A1" s="3" t="s">
        <v>0</v>
      </c>
      <c r="B1" s="3" t="s">
        <v>1</v>
      </c>
      <c r="C1" s="3" t="s">
        <v>2</v>
      </c>
      <c r="D1" s="4" t="s">
        <v>3</v>
      </c>
      <c r="E1" s="3" t="s">
        <v>4</v>
      </c>
      <c r="F1" s="4" t="s">
        <v>5</v>
      </c>
      <c r="G1" s="4" t="s">
        <v>6</v>
      </c>
      <c r="H1" s="3" t="s">
        <v>7</v>
      </c>
      <c r="I1" s="4" t="s">
        <v>8</v>
      </c>
      <c r="J1" s="3" t="s">
        <v>9</v>
      </c>
      <c r="K1" s="3" t="s">
        <v>10</v>
      </c>
      <c r="L1" s="3" t="s">
        <v>11</v>
      </c>
      <c r="M1" s="3" t="s">
        <v>12</v>
      </c>
      <c r="N1" s="3" t="s">
        <v>13</v>
      </c>
      <c r="O1" s="3" t="s">
        <v>14</v>
      </c>
      <c r="P1" s="3" t="s">
        <v>15</v>
      </c>
      <c r="Q1" s="3" t="s">
        <v>16</v>
      </c>
      <c r="R1" s="3" t="s">
        <v>17</v>
      </c>
    </row>
    <row r="2" spans="1:18" s="18" customFormat="1" ht="45" x14ac:dyDescent="0.25">
      <c r="B2" s="19">
        <v>1</v>
      </c>
      <c r="C2" s="18" t="s">
        <v>434</v>
      </c>
      <c r="D2" s="19">
        <v>1</v>
      </c>
      <c r="E2" s="18" t="s">
        <v>543</v>
      </c>
      <c r="F2" s="19" t="str">
        <f>_xlfn.CONCAT(B2,"_",G2)</f>
        <v>1_1</v>
      </c>
      <c r="G2" s="6">
        <v>1</v>
      </c>
      <c r="H2" s="7" t="s">
        <v>18</v>
      </c>
      <c r="I2" s="6" t="b">
        <v>1</v>
      </c>
      <c r="J2" s="6">
        <v>3</v>
      </c>
      <c r="K2" s="6" t="s">
        <v>19</v>
      </c>
      <c r="L2" s="18" t="str">
        <f>_xlfn.CONCAT(F2,"_",K2)</f>
        <v>1_1_A</v>
      </c>
      <c r="M2" s="8" t="s">
        <v>20</v>
      </c>
      <c r="N2" s="7"/>
      <c r="O2" s="7"/>
    </row>
    <row r="3" spans="1:18" s="18" customFormat="1" ht="45" x14ac:dyDescent="0.25">
      <c r="B3" s="19">
        <v>1</v>
      </c>
      <c r="C3" s="18" t="s">
        <v>434</v>
      </c>
      <c r="D3" s="19">
        <v>1</v>
      </c>
      <c r="E3" s="18" t="s">
        <v>543</v>
      </c>
      <c r="F3" s="19" t="str">
        <f t="shared" ref="F3:F14" si="0">_xlfn.CONCAT(B3,"_",G3)</f>
        <v>1_1</v>
      </c>
      <c r="G3" s="6">
        <v>1</v>
      </c>
      <c r="H3" s="7" t="s">
        <v>18</v>
      </c>
      <c r="I3" s="6" t="b">
        <v>1</v>
      </c>
      <c r="J3" s="6">
        <v>3</v>
      </c>
      <c r="K3" s="6" t="s">
        <v>21</v>
      </c>
      <c r="L3" s="18" t="str">
        <f t="shared" ref="L3:L14" si="1">_xlfn.CONCAT(F3,"_",K3)</f>
        <v>1_1_B</v>
      </c>
      <c r="M3" s="8" t="s">
        <v>22</v>
      </c>
      <c r="N3" s="7"/>
      <c r="O3" s="7"/>
    </row>
    <row r="4" spans="1:18" s="18" customFormat="1" ht="45" x14ac:dyDescent="0.25">
      <c r="B4" s="19">
        <v>1</v>
      </c>
      <c r="C4" s="18" t="s">
        <v>434</v>
      </c>
      <c r="D4" s="19">
        <v>1</v>
      </c>
      <c r="E4" s="18" t="s">
        <v>543</v>
      </c>
      <c r="F4" s="19" t="str">
        <f t="shared" si="0"/>
        <v>1_1</v>
      </c>
      <c r="G4" s="6">
        <v>1</v>
      </c>
      <c r="H4" s="7" t="s">
        <v>18</v>
      </c>
      <c r="I4" s="6" t="b">
        <v>1</v>
      </c>
      <c r="J4" s="6">
        <v>3</v>
      </c>
      <c r="K4" s="6" t="s">
        <v>23</v>
      </c>
      <c r="L4" s="18" t="str">
        <f t="shared" si="1"/>
        <v>1_1_C</v>
      </c>
      <c r="M4" s="8" t="s">
        <v>24</v>
      </c>
      <c r="N4" s="7"/>
      <c r="O4" s="7"/>
    </row>
    <row r="5" spans="1:18" s="18" customFormat="1" ht="45" x14ac:dyDescent="0.25">
      <c r="B5" s="19">
        <v>1</v>
      </c>
      <c r="C5" s="18" t="s">
        <v>434</v>
      </c>
      <c r="D5" s="19">
        <v>1</v>
      </c>
      <c r="E5" s="18" t="s">
        <v>543</v>
      </c>
      <c r="F5" s="19" t="str">
        <f t="shared" si="0"/>
        <v>1_1</v>
      </c>
      <c r="G5" s="6">
        <v>1</v>
      </c>
      <c r="H5" s="7" t="s">
        <v>18</v>
      </c>
      <c r="I5" s="6" t="b">
        <v>1</v>
      </c>
      <c r="J5" s="6">
        <v>3</v>
      </c>
      <c r="K5" s="6" t="s">
        <v>25</v>
      </c>
      <c r="L5" s="18" t="str">
        <f t="shared" si="1"/>
        <v>1_1_D</v>
      </c>
      <c r="M5" s="8" t="s">
        <v>26</v>
      </c>
      <c r="N5" s="7"/>
      <c r="O5" s="7"/>
    </row>
    <row r="6" spans="1:18" s="18" customFormat="1" ht="45" x14ac:dyDescent="0.25">
      <c r="B6" s="19">
        <v>1</v>
      </c>
      <c r="C6" s="18" t="s">
        <v>434</v>
      </c>
      <c r="D6" s="19">
        <v>1</v>
      </c>
      <c r="E6" s="18" t="s">
        <v>543</v>
      </c>
      <c r="F6" s="19" t="str">
        <f t="shared" si="0"/>
        <v>1_1</v>
      </c>
      <c r="G6" s="6">
        <v>1</v>
      </c>
      <c r="H6" s="7" t="s">
        <v>18</v>
      </c>
      <c r="I6" s="6" t="b">
        <v>1</v>
      </c>
      <c r="J6" s="6">
        <v>3</v>
      </c>
      <c r="K6" s="6" t="s">
        <v>27</v>
      </c>
      <c r="L6" s="18" t="str">
        <f t="shared" si="1"/>
        <v>1_1_E</v>
      </c>
      <c r="M6" s="8" t="s">
        <v>28</v>
      </c>
      <c r="N6" s="7"/>
      <c r="O6" s="7"/>
    </row>
    <row r="7" spans="1:18" s="18" customFormat="1" ht="45" x14ac:dyDescent="0.25">
      <c r="B7" s="19">
        <v>1</v>
      </c>
      <c r="C7" s="18" t="s">
        <v>434</v>
      </c>
      <c r="D7" s="19">
        <v>1</v>
      </c>
      <c r="E7" s="18" t="s">
        <v>543</v>
      </c>
      <c r="F7" s="19" t="str">
        <f t="shared" si="0"/>
        <v>1_1</v>
      </c>
      <c r="G7" s="6">
        <v>1</v>
      </c>
      <c r="H7" s="7" t="s">
        <v>18</v>
      </c>
      <c r="I7" s="6" t="b">
        <v>1</v>
      </c>
      <c r="J7" s="6">
        <v>3</v>
      </c>
      <c r="K7" s="6" t="s">
        <v>29</v>
      </c>
      <c r="L7" s="18" t="str">
        <f t="shared" si="1"/>
        <v>1_1_F</v>
      </c>
      <c r="M7" s="8" t="s">
        <v>30</v>
      </c>
      <c r="N7" s="7"/>
      <c r="O7" s="7"/>
    </row>
    <row r="8" spans="1:18" s="18" customFormat="1" ht="45" x14ac:dyDescent="0.25">
      <c r="B8" s="19">
        <v>1</v>
      </c>
      <c r="C8" s="18" t="s">
        <v>434</v>
      </c>
      <c r="D8" s="19">
        <v>1</v>
      </c>
      <c r="E8" s="18" t="s">
        <v>543</v>
      </c>
      <c r="F8" s="19" t="str">
        <f t="shared" si="0"/>
        <v>1_1</v>
      </c>
      <c r="G8" s="6">
        <v>1</v>
      </c>
      <c r="H8" s="7" t="s">
        <v>18</v>
      </c>
      <c r="I8" s="6" t="b">
        <v>1</v>
      </c>
      <c r="J8" s="6">
        <v>3</v>
      </c>
      <c r="K8" s="6" t="s">
        <v>31</v>
      </c>
      <c r="L8" s="18" t="str">
        <f t="shared" si="1"/>
        <v>1_1_OTHER</v>
      </c>
      <c r="M8" s="7" t="s">
        <v>32</v>
      </c>
      <c r="N8" s="7"/>
      <c r="O8" s="7"/>
    </row>
    <row r="9" spans="1:18" s="18" customFormat="1" ht="135" x14ac:dyDescent="0.25">
      <c r="B9" s="19">
        <v>1</v>
      </c>
      <c r="C9" s="18" t="s">
        <v>434</v>
      </c>
      <c r="D9" s="19">
        <v>2</v>
      </c>
      <c r="E9" s="18" t="s">
        <v>544</v>
      </c>
      <c r="F9" s="19" t="str">
        <f t="shared" si="0"/>
        <v>1_2</v>
      </c>
      <c r="G9" s="6">
        <v>2</v>
      </c>
      <c r="H9" s="8" t="s">
        <v>46</v>
      </c>
      <c r="I9" s="6" t="b">
        <v>1</v>
      </c>
      <c r="J9" s="8">
        <v>2</v>
      </c>
      <c r="K9" s="6" t="s">
        <v>19</v>
      </c>
      <c r="L9" s="18" t="str">
        <f t="shared" si="1"/>
        <v>1_2_A</v>
      </c>
      <c r="M9" s="8" t="s">
        <v>33</v>
      </c>
      <c r="N9" s="8" t="s">
        <v>34</v>
      </c>
      <c r="O9" s="8" t="s">
        <v>35</v>
      </c>
    </row>
    <row r="10" spans="1:18" s="18" customFormat="1" ht="90" x14ac:dyDescent="0.25">
      <c r="B10" s="19">
        <v>1</v>
      </c>
      <c r="C10" s="18" t="s">
        <v>434</v>
      </c>
      <c r="D10" s="19">
        <v>2</v>
      </c>
      <c r="E10" s="18" t="s">
        <v>544</v>
      </c>
      <c r="F10" s="19" t="str">
        <f t="shared" si="0"/>
        <v>1_2</v>
      </c>
      <c r="G10" s="6">
        <v>2</v>
      </c>
      <c r="H10" s="8" t="s">
        <v>46</v>
      </c>
      <c r="I10" s="6" t="b">
        <v>1</v>
      </c>
      <c r="J10" s="8">
        <v>2</v>
      </c>
      <c r="K10" s="6" t="s">
        <v>21</v>
      </c>
      <c r="L10" s="18" t="str">
        <f t="shared" si="1"/>
        <v>1_2_B</v>
      </c>
      <c r="M10" s="8" t="s">
        <v>36</v>
      </c>
      <c r="N10" s="8" t="s">
        <v>37</v>
      </c>
      <c r="O10" s="8" t="s">
        <v>38</v>
      </c>
    </row>
    <row r="11" spans="1:18" s="18" customFormat="1" ht="120" x14ac:dyDescent="0.25">
      <c r="B11" s="19">
        <v>1</v>
      </c>
      <c r="C11" s="18" t="s">
        <v>434</v>
      </c>
      <c r="D11" s="19">
        <v>2</v>
      </c>
      <c r="E11" s="18" t="s">
        <v>544</v>
      </c>
      <c r="F11" s="19" t="str">
        <f t="shared" si="0"/>
        <v>1_2</v>
      </c>
      <c r="G11" s="6">
        <v>2</v>
      </c>
      <c r="H11" s="8" t="s">
        <v>46</v>
      </c>
      <c r="I11" s="6" t="b">
        <v>1</v>
      </c>
      <c r="J11" s="8">
        <v>2</v>
      </c>
      <c r="K11" s="6" t="s">
        <v>23</v>
      </c>
      <c r="L11" s="18" t="str">
        <f t="shared" si="1"/>
        <v>1_2_C</v>
      </c>
      <c r="M11" s="8" t="s">
        <v>47</v>
      </c>
      <c r="N11" s="8" t="s">
        <v>39</v>
      </c>
      <c r="O11" s="8" t="s">
        <v>444</v>
      </c>
    </row>
    <row r="12" spans="1:18" s="18" customFormat="1" ht="135" x14ac:dyDescent="0.25">
      <c r="B12" s="19">
        <v>1</v>
      </c>
      <c r="C12" s="18" t="s">
        <v>434</v>
      </c>
      <c r="D12" s="19">
        <v>2</v>
      </c>
      <c r="E12" s="18" t="s">
        <v>544</v>
      </c>
      <c r="F12" s="19" t="str">
        <f t="shared" si="0"/>
        <v>1_2</v>
      </c>
      <c r="G12" s="6">
        <v>2</v>
      </c>
      <c r="H12" s="8" t="s">
        <v>46</v>
      </c>
      <c r="I12" s="6" t="b">
        <v>1</v>
      </c>
      <c r="J12" s="8">
        <v>2</v>
      </c>
      <c r="K12" s="6" t="s">
        <v>25</v>
      </c>
      <c r="L12" s="18" t="str">
        <f t="shared" si="1"/>
        <v>1_2_D</v>
      </c>
      <c r="M12" s="8" t="s">
        <v>40</v>
      </c>
      <c r="N12" s="8" t="s">
        <v>41</v>
      </c>
      <c r="O12" s="8" t="s">
        <v>42</v>
      </c>
    </row>
    <row r="13" spans="1:18" s="18" customFormat="1" ht="105" x14ac:dyDescent="0.25">
      <c r="B13" s="19">
        <v>1</v>
      </c>
      <c r="C13" s="18" t="s">
        <v>434</v>
      </c>
      <c r="D13" s="19">
        <v>2</v>
      </c>
      <c r="E13" s="18" t="s">
        <v>544</v>
      </c>
      <c r="F13" s="19" t="str">
        <f t="shared" si="0"/>
        <v>1_2</v>
      </c>
      <c r="G13" s="6">
        <v>2</v>
      </c>
      <c r="H13" s="8" t="s">
        <v>46</v>
      </c>
      <c r="I13" s="6" t="b">
        <v>1</v>
      </c>
      <c r="J13" s="8">
        <v>2</v>
      </c>
      <c r="K13" s="6" t="s">
        <v>27</v>
      </c>
      <c r="L13" s="18" t="str">
        <f t="shared" si="1"/>
        <v>1_2_E</v>
      </c>
      <c r="M13" s="8" t="s">
        <v>43</v>
      </c>
      <c r="N13" s="8" t="s">
        <v>44</v>
      </c>
      <c r="O13" s="8" t="s">
        <v>45</v>
      </c>
    </row>
    <row r="14" spans="1:18" s="18" customFormat="1" ht="45" x14ac:dyDescent="0.25">
      <c r="B14" s="19">
        <v>1</v>
      </c>
      <c r="C14" s="18" t="s">
        <v>434</v>
      </c>
      <c r="D14" s="19">
        <v>2</v>
      </c>
      <c r="E14" s="18" t="s">
        <v>544</v>
      </c>
      <c r="F14" s="19" t="str">
        <f t="shared" si="0"/>
        <v>1_2</v>
      </c>
      <c r="G14" s="6">
        <v>2</v>
      </c>
      <c r="H14" s="8" t="s">
        <v>46</v>
      </c>
      <c r="I14" s="6" t="b">
        <v>1</v>
      </c>
      <c r="J14" s="8">
        <v>2</v>
      </c>
      <c r="K14" s="6" t="s">
        <v>31</v>
      </c>
      <c r="L14" s="18" t="str">
        <f t="shared" si="1"/>
        <v>1_2_OTHER</v>
      </c>
      <c r="M14" s="8" t="s">
        <v>32</v>
      </c>
      <c r="N14" s="8"/>
      <c r="O14" s="8"/>
    </row>
    <row r="15" spans="1:18" s="8" customFormat="1" ht="101.25" customHeight="1" x14ac:dyDescent="0.25">
      <c r="B15" s="19">
        <v>1</v>
      </c>
      <c r="C15" s="18" t="s">
        <v>434</v>
      </c>
      <c r="D15" s="6">
        <v>3</v>
      </c>
      <c r="E15" s="8" t="s">
        <v>542</v>
      </c>
      <c r="F15" s="6" t="s">
        <v>541</v>
      </c>
      <c r="G15" s="6">
        <v>3</v>
      </c>
      <c r="H15" s="8" t="s">
        <v>113</v>
      </c>
      <c r="I15" s="8" t="b">
        <v>1</v>
      </c>
      <c r="J15" s="6">
        <v>10</v>
      </c>
      <c r="K15" s="8" t="s">
        <v>19</v>
      </c>
      <c r="L15" s="8" t="s">
        <v>517</v>
      </c>
      <c r="M15" s="7" t="s">
        <v>71</v>
      </c>
      <c r="N15" s="7" t="s">
        <v>446</v>
      </c>
      <c r="O15" s="7" t="s">
        <v>72</v>
      </c>
    </row>
    <row r="16" spans="1:18" s="8" customFormat="1" ht="90" customHeight="1" x14ac:dyDescent="0.25">
      <c r="A16" s="7"/>
      <c r="B16" s="19">
        <v>1</v>
      </c>
      <c r="C16" s="18" t="s">
        <v>434</v>
      </c>
      <c r="D16" s="6">
        <v>3</v>
      </c>
      <c r="E16" s="8" t="s">
        <v>542</v>
      </c>
      <c r="F16" s="6" t="s">
        <v>541</v>
      </c>
      <c r="G16" s="6">
        <v>3</v>
      </c>
      <c r="H16" s="8" t="s">
        <v>113</v>
      </c>
      <c r="I16" s="8" t="b">
        <v>1</v>
      </c>
      <c r="J16" s="6">
        <v>10</v>
      </c>
      <c r="K16" s="8" t="s">
        <v>21</v>
      </c>
      <c r="L16" s="8" t="s">
        <v>518</v>
      </c>
      <c r="M16" s="7" t="s">
        <v>73</v>
      </c>
      <c r="N16" s="8" t="s">
        <v>74</v>
      </c>
      <c r="O16" s="7" t="s">
        <v>447</v>
      </c>
    </row>
    <row r="17" spans="1:15" s="8" customFormat="1" ht="82.5" customHeight="1" x14ac:dyDescent="0.25">
      <c r="B17" s="19">
        <v>1</v>
      </c>
      <c r="C17" s="18" t="s">
        <v>434</v>
      </c>
      <c r="D17" s="6">
        <v>3</v>
      </c>
      <c r="E17" s="8" t="s">
        <v>542</v>
      </c>
      <c r="F17" s="6" t="s">
        <v>541</v>
      </c>
      <c r="G17" s="6">
        <v>3</v>
      </c>
      <c r="H17" s="8" t="s">
        <v>113</v>
      </c>
      <c r="I17" s="8" t="b">
        <v>1</v>
      </c>
      <c r="J17" s="6">
        <v>10</v>
      </c>
      <c r="K17" s="8" t="s">
        <v>23</v>
      </c>
      <c r="L17" s="8" t="s">
        <v>519</v>
      </c>
      <c r="M17" s="7" t="s">
        <v>75</v>
      </c>
      <c r="N17" s="8" t="s">
        <v>76</v>
      </c>
      <c r="O17" s="7" t="s">
        <v>77</v>
      </c>
    </row>
    <row r="18" spans="1:15" s="8" customFormat="1" ht="143.25" customHeight="1" x14ac:dyDescent="0.25">
      <c r="A18" s="7"/>
      <c r="B18" s="19">
        <v>1</v>
      </c>
      <c r="C18" s="18" t="s">
        <v>434</v>
      </c>
      <c r="D18" s="6">
        <v>3</v>
      </c>
      <c r="E18" s="8" t="s">
        <v>542</v>
      </c>
      <c r="F18" s="6" t="s">
        <v>541</v>
      </c>
      <c r="G18" s="6">
        <v>3</v>
      </c>
      <c r="H18" s="8" t="s">
        <v>113</v>
      </c>
      <c r="I18" s="8" t="b">
        <v>1</v>
      </c>
      <c r="J18" s="6">
        <v>10</v>
      </c>
      <c r="K18" s="8" t="s">
        <v>25</v>
      </c>
      <c r="L18" s="8" t="s">
        <v>520</v>
      </c>
      <c r="M18" s="7" t="s">
        <v>78</v>
      </c>
      <c r="N18" s="8" t="s">
        <v>79</v>
      </c>
      <c r="O18" s="7" t="s">
        <v>448</v>
      </c>
    </row>
    <row r="19" spans="1:15" s="8" customFormat="1" ht="120" customHeight="1" x14ac:dyDescent="0.25">
      <c r="B19" s="19">
        <v>1</v>
      </c>
      <c r="C19" s="18" t="s">
        <v>434</v>
      </c>
      <c r="D19" s="6">
        <v>3</v>
      </c>
      <c r="E19" s="8" t="s">
        <v>542</v>
      </c>
      <c r="F19" s="6" t="s">
        <v>541</v>
      </c>
      <c r="G19" s="6">
        <v>3</v>
      </c>
      <c r="H19" s="8" t="s">
        <v>113</v>
      </c>
      <c r="I19" s="8" t="b">
        <v>1</v>
      </c>
      <c r="J19" s="6">
        <v>10</v>
      </c>
      <c r="K19" s="8" t="s">
        <v>27</v>
      </c>
      <c r="L19" s="8" t="s">
        <v>521</v>
      </c>
      <c r="M19" s="7" t="s">
        <v>80</v>
      </c>
      <c r="N19" s="8" t="s">
        <v>81</v>
      </c>
      <c r="O19" s="7" t="s">
        <v>449</v>
      </c>
    </row>
    <row r="20" spans="1:15" s="8" customFormat="1" ht="197.25" customHeight="1" x14ac:dyDescent="0.25">
      <c r="A20" s="7"/>
      <c r="B20" s="19">
        <v>1</v>
      </c>
      <c r="C20" s="18" t="s">
        <v>434</v>
      </c>
      <c r="D20" s="6">
        <v>3</v>
      </c>
      <c r="E20" s="8" t="s">
        <v>542</v>
      </c>
      <c r="F20" s="6" t="s">
        <v>541</v>
      </c>
      <c r="G20" s="6">
        <v>3</v>
      </c>
      <c r="H20" s="8" t="s">
        <v>113</v>
      </c>
      <c r="I20" s="8" t="b">
        <v>1</v>
      </c>
      <c r="J20" s="6">
        <v>10</v>
      </c>
      <c r="K20" s="8" t="s">
        <v>29</v>
      </c>
      <c r="L20" s="8" t="s">
        <v>522</v>
      </c>
      <c r="M20" s="7" t="s">
        <v>82</v>
      </c>
      <c r="N20" s="8" t="s">
        <v>83</v>
      </c>
      <c r="O20" s="7" t="s">
        <v>84</v>
      </c>
    </row>
    <row r="21" spans="1:15" s="8" customFormat="1" ht="54" customHeight="1" x14ac:dyDescent="0.25">
      <c r="B21" s="19">
        <v>1</v>
      </c>
      <c r="C21" s="18" t="s">
        <v>434</v>
      </c>
      <c r="D21" s="6">
        <v>3</v>
      </c>
      <c r="E21" s="8" t="s">
        <v>542</v>
      </c>
      <c r="F21" s="6" t="s">
        <v>541</v>
      </c>
      <c r="G21" s="6">
        <v>3</v>
      </c>
      <c r="H21" s="8" t="s">
        <v>113</v>
      </c>
      <c r="I21" s="8" t="b">
        <v>1</v>
      </c>
      <c r="J21" s="6">
        <v>10</v>
      </c>
      <c r="K21" s="8" t="s">
        <v>31</v>
      </c>
      <c r="L21" s="8" t="s">
        <v>523</v>
      </c>
      <c r="M21" s="8" t="s">
        <v>32</v>
      </c>
    </row>
  </sheetData>
  <autoFilter ref="A1:R1" xr:uid="{058253C3-AA70-45BC-9620-E799AA93655E}"/>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865D2-9538-4D64-9F4A-AE25F0FE2381}">
  <dimension ref="A1:R27"/>
  <sheetViews>
    <sheetView zoomScale="90" zoomScaleNormal="90" workbookViewId="0">
      <pane ySplit="1" topLeftCell="A22" activePane="bottomLeft" state="frozen"/>
      <selection pane="bottomLeft" activeCell="A2" sqref="A2:XFD27"/>
    </sheetView>
  </sheetViews>
  <sheetFormatPr defaultRowHeight="15" x14ac:dyDescent="0.25"/>
  <cols>
    <col min="1" max="2" width="9.140625" style="5"/>
    <col min="3" max="3" width="14.5703125" style="5" customWidth="1"/>
    <col min="4" max="4" width="9.140625" style="5"/>
    <col min="5" max="5" width="17.5703125" style="5" customWidth="1"/>
    <col min="6" max="7" width="9.140625" style="5"/>
    <col min="8" max="8" width="29" style="5" customWidth="1"/>
    <col min="9" max="9" width="13.42578125" style="5" customWidth="1"/>
    <col min="10" max="10" width="9.140625" style="12"/>
    <col min="11" max="12" width="9.140625" style="5"/>
    <col min="13" max="13" width="24" style="5" customWidth="1"/>
    <col min="14" max="14" width="50.5703125" style="5" customWidth="1"/>
    <col min="15" max="15" width="46.85546875" style="5" customWidth="1"/>
    <col min="16" max="16384" width="9.140625" style="5"/>
  </cols>
  <sheetData>
    <row r="1" spans="1:18" s="3" customFormat="1" ht="45" x14ac:dyDescent="0.25">
      <c r="A1" s="3" t="s">
        <v>0</v>
      </c>
      <c r="B1" s="3" t="s">
        <v>1</v>
      </c>
      <c r="C1" s="3" t="s">
        <v>2</v>
      </c>
      <c r="D1" s="4" t="s">
        <v>3</v>
      </c>
      <c r="E1" s="3" t="s">
        <v>4</v>
      </c>
      <c r="F1" s="4" t="s">
        <v>5</v>
      </c>
      <c r="G1" s="4" t="s">
        <v>6</v>
      </c>
      <c r="H1" s="3" t="s">
        <v>7</v>
      </c>
      <c r="I1" s="4" t="s">
        <v>8</v>
      </c>
      <c r="J1" s="4" t="s">
        <v>9</v>
      </c>
      <c r="K1" s="3" t="s">
        <v>10</v>
      </c>
      <c r="L1" s="3" t="s">
        <v>11</v>
      </c>
      <c r="M1" s="3" t="s">
        <v>12</v>
      </c>
      <c r="N1" s="3" t="s">
        <v>13</v>
      </c>
      <c r="O1" s="3" t="s">
        <v>14</v>
      </c>
      <c r="P1" s="3" t="s">
        <v>15</v>
      </c>
      <c r="Q1" s="3" t="s">
        <v>16</v>
      </c>
      <c r="R1" s="3" t="s">
        <v>17</v>
      </c>
    </row>
    <row r="2" spans="1:18" s="8" customFormat="1" ht="168.75" customHeight="1" x14ac:dyDescent="0.25">
      <c r="B2" s="6">
        <v>2</v>
      </c>
      <c r="C2" s="8" t="s">
        <v>436</v>
      </c>
      <c r="D2" s="6">
        <v>1</v>
      </c>
      <c r="E2" s="8" t="s">
        <v>437</v>
      </c>
      <c r="F2" s="6" t="s">
        <v>502</v>
      </c>
      <c r="G2" s="6">
        <v>1</v>
      </c>
      <c r="H2" s="8" t="s">
        <v>309</v>
      </c>
      <c r="I2" s="8" t="b">
        <v>0</v>
      </c>
      <c r="J2" s="6">
        <v>1</v>
      </c>
      <c r="K2" s="8" t="s">
        <v>19</v>
      </c>
      <c r="L2" s="8" t="s">
        <v>508</v>
      </c>
      <c r="M2" s="7" t="s">
        <v>48</v>
      </c>
      <c r="N2" s="7" t="s">
        <v>49</v>
      </c>
      <c r="O2" s="7" t="s">
        <v>50</v>
      </c>
    </row>
    <row r="3" spans="1:18" s="8" customFormat="1" ht="54" customHeight="1" x14ac:dyDescent="0.25">
      <c r="B3" s="6">
        <v>2</v>
      </c>
      <c r="C3" s="8" t="s">
        <v>436</v>
      </c>
      <c r="D3" s="6">
        <v>1</v>
      </c>
      <c r="E3" s="8" t="s">
        <v>437</v>
      </c>
      <c r="F3" s="6" t="s">
        <v>502</v>
      </c>
      <c r="G3" s="6">
        <v>1</v>
      </c>
      <c r="H3" s="8" t="s">
        <v>111</v>
      </c>
      <c r="I3" s="8" t="b">
        <v>0</v>
      </c>
      <c r="J3" s="6">
        <v>2</v>
      </c>
      <c r="K3" s="8" t="s">
        <v>21</v>
      </c>
      <c r="L3" s="8" t="s">
        <v>509</v>
      </c>
      <c r="M3" s="7" t="s">
        <v>51</v>
      </c>
      <c r="N3" s="7" t="s">
        <v>52</v>
      </c>
      <c r="O3" s="7" t="s">
        <v>53</v>
      </c>
    </row>
    <row r="4" spans="1:18" s="8" customFormat="1" ht="60" customHeight="1" x14ac:dyDescent="0.25">
      <c r="B4" s="6">
        <v>2</v>
      </c>
      <c r="C4" s="8" t="s">
        <v>436</v>
      </c>
      <c r="D4" s="6">
        <v>1</v>
      </c>
      <c r="E4" s="8" t="s">
        <v>437</v>
      </c>
      <c r="F4" s="6" t="s">
        <v>502</v>
      </c>
      <c r="G4" s="6">
        <v>1</v>
      </c>
      <c r="H4" s="8" t="s">
        <v>111</v>
      </c>
      <c r="I4" s="8" t="b">
        <v>0</v>
      </c>
      <c r="J4" s="6">
        <v>3</v>
      </c>
      <c r="K4" s="8" t="s">
        <v>23</v>
      </c>
      <c r="L4" s="8" t="s">
        <v>510</v>
      </c>
      <c r="M4" s="7" t="s">
        <v>54</v>
      </c>
      <c r="N4" s="7" t="s">
        <v>55</v>
      </c>
      <c r="O4" s="7" t="s">
        <v>56</v>
      </c>
    </row>
    <row r="5" spans="1:18" s="8" customFormat="1" ht="135" customHeight="1" x14ac:dyDescent="0.25">
      <c r="B5" s="6">
        <v>2</v>
      </c>
      <c r="C5" s="8" t="s">
        <v>436</v>
      </c>
      <c r="D5" s="6">
        <v>1</v>
      </c>
      <c r="E5" s="8" t="s">
        <v>437</v>
      </c>
      <c r="F5" s="6" t="s">
        <v>503</v>
      </c>
      <c r="G5" s="6">
        <v>2</v>
      </c>
      <c r="H5" s="8" t="s">
        <v>112</v>
      </c>
      <c r="I5" s="8" t="b">
        <v>1</v>
      </c>
      <c r="J5" s="6">
        <v>10</v>
      </c>
      <c r="K5" s="8" t="s">
        <v>19</v>
      </c>
      <c r="L5" s="8" t="s">
        <v>511</v>
      </c>
      <c r="M5" s="7" t="s">
        <v>57</v>
      </c>
      <c r="N5" s="7" t="s">
        <v>58</v>
      </c>
      <c r="O5" s="7" t="s">
        <v>445</v>
      </c>
    </row>
    <row r="6" spans="1:18" s="8" customFormat="1" ht="109.5" customHeight="1" x14ac:dyDescent="0.25">
      <c r="B6" s="6">
        <v>2</v>
      </c>
      <c r="C6" s="8" t="s">
        <v>436</v>
      </c>
      <c r="D6" s="6">
        <v>1</v>
      </c>
      <c r="E6" s="8" t="s">
        <v>437</v>
      </c>
      <c r="F6" s="6" t="s">
        <v>503</v>
      </c>
      <c r="G6" s="6">
        <v>2</v>
      </c>
      <c r="H6" s="8" t="s">
        <v>112</v>
      </c>
      <c r="I6" s="8" t="b">
        <v>1</v>
      </c>
      <c r="J6" s="6">
        <v>10</v>
      </c>
      <c r="K6" s="8" t="s">
        <v>21</v>
      </c>
      <c r="L6" s="8" t="s">
        <v>512</v>
      </c>
      <c r="M6" s="7" t="s">
        <v>59</v>
      </c>
      <c r="N6" s="8" t="s">
        <v>60</v>
      </c>
      <c r="O6" s="7" t="s">
        <v>61</v>
      </c>
    </row>
    <row r="7" spans="1:18" s="8" customFormat="1" ht="91.5" customHeight="1" x14ac:dyDescent="0.25">
      <c r="A7" s="7"/>
      <c r="B7" s="6">
        <v>2</v>
      </c>
      <c r="C7" s="8" t="s">
        <v>436</v>
      </c>
      <c r="D7" s="6">
        <v>1</v>
      </c>
      <c r="E7" s="8" t="s">
        <v>437</v>
      </c>
      <c r="F7" s="6" t="s">
        <v>503</v>
      </c>
      <c r="G7" s="6">
        <v>2</v>
      </c>
      <c r="H7" s="8" t="s">
        <v>112</v>
      </c>
      <c r="I7" s="8" t="b">
        <v>1</v>
      </c>
      <c r="J7" s="6">
        <v>10</v>
      </c>
      <c r="K7" s="8" t="s">
        <v>23</v>
      </c>
      <c r="L7" s="8" t="s">
        <v>513</v>
      </c>
      <c r="M7" s="7" t="s">
        <v>62</v>
      </c>
      <c r="N7" s="8" t="s">
        <v>63</v>
      </c>
      <c r="O7" s="7" t="s">
        <v>64</v>
      </c>
    </row>
    <row r="8" spans="1:18" s="8" customFormat="1" ht="102" customHeight="1" x14ac:dyDescent="0.25">
      <c r="B8" s="6">
        <v>2</v>
      </c>
      <c r="C8" s="8" t="s">
        <v>436</v>
      </c>
      <c r="D8" s="6">
        <v>1</v>
      </c>
      <c r="E8" s="8" t="s">
        <v>437</v>
      </c>
      <c r="F8" s="6" t="s">
        <v>503</v>
      </c>
      <c r="G8" s="6">
        <v>2</v>
      </c>
      <c r="H8" s="8" t="s">
        <v>112</v>
      </c>
      <c r="I8" s="8" t="b">
        <v>1</v>
      </c>
      <c r="J8" s="6">
        <v>10</v>
      </c>
      <c r="K8" s="8" t="s">
        <v>25</v>
      </c>
      <c r="L8" s="8" t="s">
        <v>514</v>
      </c>
      <c r="M8" s="7" t="s">
        <v>65</v>
      </c>
      <c r="N8" s="8" t="s">
        <v>66</v>
      </c>
      <c r="O8" s="7" t="s">
        <v>67</v>
      </c>
    </row>
    <row r="9" spans="1:18" s="8" customFormat="1" ht="127.5" customHeight="1" x14ac:dyDescent="0.25">
      <c r="B9" s="6">
        <v>2</v>
      </c>
      <c r="C9" s="8" t="s">
        <v>436</v>
      </c>
      <c r="D9" s="6">
        <v>1</v>
      </c>
      <c r="E9" s="8" t="s">
        <v>437</v>
      </c>
      <c r="F9" s="6" t="s">
        <v>503</v>
      </c>
      <c r="G9" s="6">
        <v>2</v>
      </c>
      <c r="H9" s="8" t="s">
        <v>112</v>
      </c>
      <c r="I9" s="8" t="b">
        <v>1</v>
      </c>
      <c r="J9" s="6">
        <v>10</v>
      </c>
      <c r="K9" s="8" t="s">
        <v>27</v>
      </c>
      <c r="L9" s="8" t="s">
        <v>515</v>
      </c>
      <c r="M9" s="7" t="s">
        <v>68</v>
      </c>
      <c r="N9" s="8" t="s">
        <v>69</v>
      </c>
      <c r="O9" s="7" t="s">
        <v>70</v>
      </c>
    </row>
    <row r="10" spans="1:18" s="8" customFormat="1" ht="54" customHeight="1" x14ac:dyDescent="0.25">
      <c r="A10" s="7"/>
      <c r="B10" s="6">
        <v>2</v>
      </c>
      <c r="C10" s="8" t="s">
        <v>436</v>
      </c>
      <c r="D10" s="6">
        <v>1</v>
      </c>
      <c r="E10" s="8" t="s">
        <v>437</v>
      </c>
      <c r="F10" s="6" t="s">
        <v>503</v>
      </c>
      <c r="G10" s="6">
        <v>2</v>
      </c>
      <c r="H10" s="8" t="s">
        <v>112</v>
      </c>
      <c r="I10" s="8" t="b">
        <v>1</v>
      </c>
      <c r="J10" s="6">
        <v>10</v>
      </c>
      <c r="K10" s="8" t="s">
        <v>31</v>
      </c>
      <c r="L10" s="8" t="s">
        <v>516</v>
      </c>
      <c r="M10" s="7" t="s">
        <v>32</v>
      </c>
    </row>
    <row r="11" spans="1:18" s="10" customFormat="1" ht="30" x14ac:dyDescent="0.25">
      <c r="B11" s="6">
        <v>2</v>
      </c>
      <c r="C11" s="8" t="s">
        <v>436</v>
      </c>
      <c r="D11" s="6">
        <v>2</v>
      </c>
      <c r="E11" s="8" t="s">
        <v>438</v>
      </c>
      <c r="F11" s="6" t="s">
        <v>504</v>
      </c>
      <c r="G11" s="11">
        <v>3</v>
      </c>
      <c r="H11" s="10" t="s">
        <v>175</v>
      </c>
      <c r="I11" s="10" t="b">
        <v>0</v>
      </c>
      <c r="J11" s="6">
        <v>10</v>
      </c>
      <c r="K11" s="11" t="s">
        <v>19</v>
      </c>
      <c r="L11" s="8" t="s">
        <v>524</v>
      </c>
      <c r="M11" s="10" t="s">
        <v>176</v>
      </c>
      <c r="N11" s="10" t="s">
        <v>455</v>
      </c>
      <c r="O11" s="10" t="s">
        <v>177</v>
      </c>
    </row>
    <row r="12" spans="1:18" s="10" customFormat="1" ht="75" x14ac:dyDescent="0.25">
      <c r="B12" s="6">
        <v>2</v>
      </c>
      <c r="C12" s="8" t="s">
        <v>436</v>
      </c>
      <c r="D12" s="6">
        <v>2</v>
      </c>
      <c r="E12" s="8" t="s">
        <v>438</v>
      </c>
      <c r="F12" s="6" t="s">
        <v>504</v>
      </c>
      <c r="G12" s="11">
        <v>3</v>
      </c>
      <c r="H12" s="10" t="s">
        <v>175</v>
      </c>
      <c r="I12" s="10" t="b">
        <v>0</v>
      </c>
      <c r="J12" s="6">
        <v>10</v>
      </c>
      <c r="K12" s="11" t="s">
        <v>21</v>
      </c>
      <c r="L12" s="8" t="s">
        <v>525</v>
      </c>
      <c r="M12" s="10" t="s">
        <v>178</v>
      </c>
      <c r="N12" s="10" t="s">
        <v>456</v>
      </c>
      <c r="O12" s="10" t="s">
        <v>457</v>
      </c>
    </row>
    <row r="13" spans="1:18" s="10" customFormat="1" ht="55.5" customHeight="1" x14ac:dyDescent="0.25">
      <c r="B13" s="6">
        <v>2</v>
      </c>
      <c r="C13" s="8" t="s">
        <v>436</v>
      </c>
      <c r="D13" s="6">
        <v>2</v>
      </c>
      <c r="E13" s="8" t="s">
        <v>438</v>
      </c>
      <c r="F13" s="6" t="s">
        <v>504</v>
      </c>
      <c r="G13" s="11">
        <v>3</v>
      </c>
      <c r="H13" s="10" t="s">
        <v>175</v>
      </c>
      <c r="I13" s="10" t="b">
        <v>0</v>
      </c>
      <c r="J13" s="6">
        <v>10</v>
      </c>
      <c r="K13" s="11" t="s">
        <v>23</v>
      </c>
      <c r="L13" s="8" t="s">
        <v>526</v>
      </c>
      <c r="M13" s="10" t="s">
        <v>179</v>
      </c>
      <c r="N13" s="10" t="s">
        <v>458</v>
      </c>
      <c r="O13" s="10" t="s">
        <v>459</v>
      </c>
    </row>
    <row r="14" spans="1:18" s="10" customFormat="1" ht="41.25" customHeight="1" x14ac:dyDescent="0.25">
      <c r="B14" s="6">
        <v>2</v>
      </c>
      <c r="C14" s="8" t="s">
        <v>436</v>
      </c>
      <c r="D14" s="6">
        <v>2</v>
      </c>
      <c r="E14" s="8" t="s">
        <v>438</v>
      </c>
      <c r="F14" s="6" t="s">
        <v>504</v>
      </c>
      <c r="G14" s="11">
        <v>3</v>
      </c>
      <c r="H14" s="10" t="s">
        <v>175</v>
      </c>
      <c r="I14" s="10" t="b">
        <v>0</v>
      </c>
      <c r="J14" s="6">
        <v>10</v>
      </c>
      <c r="K14" s="11" t="s">
        <v>31</v>
      </c>
      <c r="L14" s="8" t="s">
        <v>527</v>
      </c>
      <c r="M14" s="10" t="s">
        <v>32</v>
      </c>
    </row>
    <row r="15" spans="1:18" s="8" customFormat="1" ht="104.25" customHeight="1" x14ac:dyDescent="0.25">
      <c r="B15" s="6">
        <v>2</v>
      </c>
      <c r="C15" s="8" t="s">
        <v>436</v>
      </c>
      <c r="D15" s="6">
        <v>3</v>
      </c>
      <c r="E15" s="8" t="s">
        <v>439</v>
      </c>
      <c r="F15" s="6" t="s">
        <v>505</v>
      </c>
      <c r="G15" s="6">
        <v>4</v>
      </c>
      <c r="H15" s="8" t="s">
        <v>85</v>
      </c>
      <c r="I15" s="8" t="b">
        <v>0</v>
      </c>
      <c r="J15" s="6">
        <v>1</v>
      </c>
      <c r="K15" s="6" t="s">
        <v>19</v>
      </c>
      <c r="L15" s="8" t="s">
        <v>528</v>
      </c>
      <c r="M15" s="8" t="s">
        <v>86</v>
      </c>
      <c r="N15" s="8" t="s">
        <v>87</v>
      </c>
      <c r="O15" s="8" t="s">
        <v>88</v>
      </c>
    </row>
    <row r="16" spans="1:18" s="8" customFormat="1" ht="122.25" customHeight="1" x14ac:dyDescent="0.25">
      <c r="B16" s="6">
        <v>2</v>
      </c>
      <c r="C16" s="8" t="s">
        <v>436</v>
      </c>
      <c r="D16" s="6">
        <v>3</v>
      </c>
      <c r="E16" s="8" t="s">
        <v>439</v>
      </c>
      <c r="F16" s="6" t="s">
        <v>505</v>
      </c>
      <c r="G16" s="6">
        <v>4</v>
      </c>
      <c r="H16" s="8" t="s">
        <v>85</v>
      </c>
      <c r="I16" s="8" t="b">
        <v>0</v>
      </c>
      <c r="J16" s="6">
        <v>1</v>
      </c>
      <c r="K16" s="6" t="s">
        <v>21</v>
      </c>
      <c r="L16" s="8" t="s">
        <v>529</v>
      </c>
      <c r="M16" s="8" t="s">
        <v>89</v>
      </c>
      <c r="N16" s="8" t="s">
        <v>90</v>
      </c>
      <c r="O16" s="8" t="s">
        <v>91</v>
      </c>
    </row>
    <row r="17" spans="2:15" s="8" customFormat="1" ht="121.5" customHeight="1" x14ac:dyDescent="0.25">
      <c r="B17" s="6">
        <v>2</v>
      </c>
      <c r="C17" s="8" t="s">
        <v>436</v>
      </c>
      <c r="D17" s="6">
        <v>3</v>
      </c>
      <c r="E17" s="8" t="s">
        <v>439</v>
      </c>
      <c r="F17" s="6" t="s">
        <v>505</v>
      </c>
      <c r="G17" s="6">
        <v>4</v>
      </c>
      <c r="H17" s="8" t="s">
        <v>85</v>
      </c>
      <c r="I17" s="8" t="b">
        <v>0</v>
      </c>
      <c r="J17" s="6">
        <v>1</v>
      </c>
      <c r="K17" s="6" t="s">
        <v>23</v>
      </c>
      <c r="L17" s="8" t="s">
        <v>530</v>
      </c>
      <c r="M17" s="8" t="s">
        <v>92</v>
      </c>
      <c r="N17" s="8" t="s">
        <v>93</v>
      </c>
      <c r="O17" s="8" t="s">
        <v>94</v>
      </c>
    </row>
    <row r="18" spans="2:15" s="8" customFormat="1" ht="168" customHeight="1" x14ac:dyDescent="0.25">
      <c r="B18" s="6">
        <v>2</v>
      </c>
      <c r="C18" s="8" t="s">
        <v>436</v>
      </c>
      <c r="D18" s="6">
        <v>3</v>
      </c>
      <c r="E18" s="8" t="s">
        <v>439</v>
      </c>
      <c r="F18" s="6" t="s">
        <v>505</v>
      </c>
      <c r="G18" s="6">
        <v>4</v>
      </c>
      <c r="H18" s="8" t="s">
        <v>85</v>
      </c>
      <c r="I18" s="8" t="b">
        <v>0</v>
      </c>
      <c r="J18" s="6">
        <v>1</v>
      </c>
      <c r="K18" s="6" t="s">
        <v>25</v>
      </c>
      <c r="L18" s="8" t="s">
        <v>531</v>
      </c>
      <c r="M18" s="8" t="s">
        <v>95</v>
      </c>
      <c r="N18" s="8" t="s">
        <v>96</v>
      </c>
      <c r="O18" s="8" t="s">
        <v>465</v>
      </c>
    </row>
    <row r="19" spans="2:15" s="8" customFormat="1" ht="60.75" customHeight="1" x14ac:dyDescent="0.25">
      <c r="B19" s="6">
        <v>2</v>
      </c>
      <c r="C19" s="8" t="s">
        <v>436</v>
      </c>
      <c r="D19" s="6">
        <v>3</v>
      </c>
      <c r="E19" s="8" t="s">
        <v>439</v>
      </c>
      <c r="F19" s="6" t="s">
        <v>505</v>
      </c>
      <c r="G19" s="6">
        <v>4</v>
      </c>
      <c r="H19" s="8" t="s">
        <v>85</v>
      </c>
      <c r="I19" s="8" t="b">
        <v>0</v>
      </c>
      <c r="J19" s="6">
        <v>1</v>
      </c>
      <c r="K19" s="6" t="s">
        <v>31</v>
      </c>
      <c r="L19" s="8" t="s">
        <v>532</v>
      </c>
      <c r="M19" s="8" t="s">
        <v>32</v>
      </c>
    </row>
    <row r="20" spans="2:15" s="8" customFormat="1" ht="71.25" customHeight="1" x14ac:dyDescent="0.25">
      <c r="B20" s="6">
        <v>2</v>
      </c>
      <c r="C20" s="8" t="s">
        <v>436</v>
      </c>
      <c r="D20" s="6">
        <v>3</v>
      </c>
      <c r="E20" s="8" t="s">
        <v>439</v>
      </c>
      <c r="F20" s="6" t="s">
        <v>506</v>
      </c>
      <c r="G20" s="6">
        <v>5</v>
      </c>
      <c r="H20" s="7" t="s">
        <v>460</v>
      </c>
      <c r="I20" s="8" t="b">
        <v>0</v>
      </c>
      <c r="J20" s="6">
        <v>1</v>
      </c>
      <c r="K20" s="6" t="s">
        <v>19</v>
      </c>
      <c r="L20" s="8" t="s">
        <v>533</v>
      </c>
      <c r="M20" s="7" t="s">
        <v>97</v>
      </c>
      <c r="N20" s="8" t="s">
        <v>450</v>
      </c>
      <c r="O20" s="8" t="s">
        <v>461</v>
      </c>
    </row>
    <row r="21" spans="2:15" s="8" customFormat="1" ht="129" customHeight="1" x14ac:dyDescent="0.25">
      <c r="B21" s="6">
        <v>2</v>
      </c>
      <c r="C21" s="8" t="s">
        <v>436</v>
      </c>
      <c r="D21" s="6">
        <v>3</v>
      </c>
      <c r="E21" s="8" t="s">
        <v>439</v>
      </c>
      <c r="F21" s="6" t="s">
        <v>506</v>
      </c>
      <c r="G21" s="6">
        <v>5</v>
      </c>
      <c r="H21" s="7" t="s">
        <v>460</v>
      </c>
      <c r="I21" s="8" t="b">
        <v>0</v>
      </c>
      <c r="J21" s="6">
        <v>1</v>
      </c>
      <c r="K21" s="6" t="s">
        <v>21</v>
      </c>
      <c r="L21" s="8" t="s">
        <v>534</v>
      </c>
      <c r="M21" s="7" t="s">
        <v>98</v>
      </c>
      <c r="N21" s="8" t="s">
        <v>451</v>
      </c>
      <c r="O21" s="8" t="s">
        <v>462</v>
      </c>
    </row>
    <row r="22" spans="2:15" s="8" customFormat="1" ht="120.75" customHeight="1" x14ac:dyDescent="0.25">
      <c r="B22" s="6">
        <v>2</v>
      </c>
      <c r="C22" s="8" t="s">
        <v>436</v>
      </c>
      <c r="D22" s="6">
        <v>3</v>
      </c>
      <c r="E22" s="8" t="s">
        <v>439</v>
      </c>
      <c r="F22" s="6" t="s">
        <v>506</v>
      </c>
      <c r="G22" s="6">
        <v>5</v>
      </c>
      <c r="H22" s="7" t="s">
        <v>460</v>
      </c>
      <c r="I22" s="8" t="b">
        <v>0</v>
      </c>
      <c r="J22" s="6">
        <v>1</v>
      </c>
      <c r="K22" s="6" t="s">
        <v>23</v>
      </c>
      <c r="L22" s="8" t="s">
        <v>535</v>
      </c>
      <c r="M22" s="7" t="s">
        <v>99</v>
      </c>
      <c r="N22" s="8" t="s">
        <v>463</v>
      </c>
      <c r="O22" s="8" t="s">
        <v>464</v>
      </c>
    </row>
    <row r="23" spans="2:15" s="8" customFormat="1" ht="72.75" customHeight="1" x14ac:dyDescent="0.25">
      <c r="B23" s="6">
        <v>2</v>
      </c>
      <c r="C23" s="8" t="s">
        <v>436</v>
      </c>
      <c r="D23" s="6">
        <v>3</v>
      </c>
      <c r="E23" s="8" t="s">
        <v>439</v>
      </c>
      <c r="F23" s="6" t="s">
        <v>506</v>
      </c>
      <c r="G23" s="6">
        <v>5</v>
      </c>
      <c r="H23" s="7" t="s">
        <v>460</v>
      </c>
      <c r="I23" s="8" t="b">
        <v>0</v>
      </c>
      <c r="J23" s="6">
        <v>1</v>
      </c>
      <c r="K23" s="6" t="s">
        <v>31</v>
      </c>
      <c r="L23" s="8" t="s">
        <v>536</v>
      </c>
      <c r="M23" s="8" t="s">
        <v>32</v>
      </c>
    </row>
    <row r="24" spans="2:15" s="8" customFormat="1" ht="123" customHeight="1" x14ac:dyDescent="0.25">
      <c r="B24" s="6">
        <v>2</v>
      </c>
      <c r="C24" s="8" t="s">
        <v>436</v>
      </c>
      <c r="D24" s="6">
        <v>3</v>
      </c>
      <c r="E24" s="8" t="s">
        <v>439</v>
      </c>
      <c r="F24" s="6" t="s">
        <v>507</v>
      </c>
      <c r="G24" s="6">
        <v>6</v>
      </c>
      <c r="H24" s="13" t="s">
        <v>100</v>
      </c>
      <c r="I24" s="8" t="b">
        <v>0</v>
      </c>
      <c r="J24" s="6">
        <v>1</v>
      </c>
      <c r="K24" s="6" t="s">
        <v>19</v>
      </c>
      <c r="L24" s="8" t="s">
        <v>537</v>
      </c>
      <c r="M24" s="13" t="s">
        <v>101</v>
      </c>
      <c r="N24" s="8" t="s">
        <v>102</v>
      </c>
    </row>
    <row r="25" spans="2:15" s="8" customFormat="1" ht="59.25" customHeight="1" x14ac:dyDescent="0.25">
      <c r="B25" s="6">
        <v>2</v>
      </c>
      <c r="C25" s="8" t="s">
        <v>436</v>
      </c>
      <c r="D25" s="6">
        <v>3</v>
      </c>
      <c r="E25" s="8" t="s">
        <v>439</v>
      </c>
      <c r="F25" s="6" t="s">
        <v>507</v>
      </c>
      <c r="G25" s="6">
        <v>6</v>
      </c>
      <c r="H25" s="13" t="s">
        <v>100</v>
      </c>
      <c r="I25" s="8" t="b">
        <v>0</v>
      </c>
      <c r="J25" s="6">
        <v>1</v>
      </c>
      <c r="K25" s="6" t="s">
        <v>21</v>
      </c>
      <c r="L25" s="8" t="s">
        <v>538</v>
      </c>
      <c r="M25" s="13" t="s">
        <v>103</v>
      </c>
      <c r="N25" s="8" t="s">
        <v>104</v>
      </c>
    </row>
    <row r="26" spans="2:15" s="8" customFormat="1" ht="77.25" customHeight="1" x14ac:dyDescent="0.25">
      <c r="B26" s="6">
        <v>2</v>
      </c>
      <c r="C26" s="8" t="s">
        <v>436</v>
      </c>
      <c r="D26" s="6">
        <v>3</v>
      </c>
      <c r="E26" s="8" t="s">
        <v>439</v>
      </c>
      <c r="F26" s="6" t="s">
        <v>507</v>
      </c>
      <c r="G26" s="6">
        <v>6</v>
      </c>
      <c r="H26" s="13" t="s">
        <v>100</v>
      </c>
      <c r="I26" s="8" t="b">
        <v>0</v>
      </c>
      <c r="J26" s="6">
        <v>1</v>
      </c>
      <c r="K26" s="6" t="s">
        <v>23</v>
      </c>
      <c r="L26" s="8" t="s">
        <v>539</v>
      </c>
      <c r="M26" s="13" t="s">
        <v>105</v>
      </c>
      <c r="N26" s="8" t="s">
        <v>106</v>
      </c>
    </row>
    <row r="27" spans="2:15" s="8" customFormat="1" ht="73.5" customHeight="1" x14ac:dyDescent="0.25">
      <c r="B27" s="6">
        <v>2</v>
      </c>
      <c r="C27" s="8" t="s">
        <v>436</v>
      </c>
      <c r="D27" s="6">
        <v>3</v>
      </c>
      <c r="E27" s="8" t="s">
        <v>439</v>
      </c>
      <c r="F27" s="6" t="s">
        <v>507</v>
      </c>
      <c r="G27" s="6">
        <v>6</v>
      </c>
      <c r="H27" s="13" t="s">
        <v>100</v>
      </c>
      <c r="I27" s="8" t="b">
        <v>0</v>
      </c>
      <c r="J27" s="6">
        <v>1</v>
      </c>
      <c r="K27" s="6" t="s">
        <v>31</v>
      </c>
      <c r="L27" s="8" t="s">
        <v>540</v>
      </c>
      <c r="M27" s="8" t="s">
        <v>32</v>
      </c>
    </row>
  </sheetData>
  <autoFilter ref="A1:R27" xr:uid="{9EE865D2-9538-4D64-9F4A-AE25F0FE2381}"/>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0B673-FAF0-4E50-B09B-0FBE70F1EBD6}">
  <dimension ref="A1:R64"/>
  <sheetViews>
    <sheetView workbookViewId="0">
      <pane ySplit="1" topLeftCell="A55" activePane="bottomLeft" state="frozen"/>
      <selection pane="bottomLeft" activeCell="A2" sqref="A2:XFD64"/>
    </sheetView>
  </sheetViews>
  <sheetFormatPr defaultRowHeight="15" x14ac:dyDescent="0.25"/>
  <cols>
    <col min="1" max="1" width="9.140625" style="5"/>
    <col min="2" max="2" width="8.42578125" style="5" customWidth="1"/>
    <col min="3" max="3" width="19" style="5" customWidth="1"/>
    <col min="4" max="4" width="9.28515625" style="19" customWidth="1"/>
    <col min="5" max="5" width="11.5703125" style="17" customWidth="1"/>
    <col min="6" max="6" width="9" style="5" customWidth="1"/>
    <col min="7" max="7" width="9.140625" style="5"/>
    <col min="8" max="8" width="26.7109375" style="5" customWidth="1"/>
    <col min="9" max="9" width="7.140625" style="18" customWidth="1"/>
    <col min="10" max="10" width="11" style="19" customWidth="1"/>
    <col min="11" max="11" width="7" style="5" customWidth="1"/>
    <col min="12" max="12" width="6.7109375" style="5" customWidth="1"/>
    <col min="13" max="13" width="44.140625" style="5" customWidth="1"/>
    <col min="14" max="14" width="42.85546875" style="10" customWidth="1"/>
    <col min="15" max="15" width="44.140625" style="16" customWidth="1"/>
    <col min="16" max="16384" width="9.140625" style="5"/>
  </cols>
  <sheetData>
    <row r="1" spans="1:18" s="3" customFormat="1" ht="45" x14ac:dyDescent="0.25">
      <c r="A1" s="3" t="s">
        <v>0</v>
      </c>
      <c r="B1" s="3" t="s">
        <v>1</v>
      </c>
      <c r="C1" s="3" t="s">
        <v>2</v>
      </c>
      <c r="D1" s="4" t="s">
        <v>3</v>
      </c>
      <c r="E1" s="3" t="s">
        <v>4</v>
      </c>
      <c r="F1" s="4" t="s">
        <v>5</v>
      </c>
      <c r="G1" s="4" t="s">
        <v>6</v>
      </c>
      <c r="H1" s="3" t="s">
        <v>7</v>
      </c>
      <c r="I1" s="4" t="s">
        <v>8</v>
      </c>
      <c r="J1" s="4" t="s">
        <v>9</v>
      </c>
      <c r="K1" s="3" t="s">
        <v>10</v>
      </c>
      <c r="L1" s="3" t="s">
        <v>11</v>
      </c>
      <c r="M1" s="3" t="s">
        <v>12</v>
      </c>
      <c r="N1" s="3" t="s">
        <v>13</v>
      </c>
      <c r="O1" s="3" t="s">
        <v>14</v>
      </c>
      <c r="P1" s="3" t="s">
        <v>15</v>
      </c>
      <c r="Q1" s="3" t="s">
        <v>16</v>
      </c>
      <c r="R1" s="3" t="s">
        <v>17</v>
      </c>
    </row>
    <row r="2" spans="1:18" s="10" customFormat="1" ht="44.25" customHeight="1" x14ac:dyDescent="0.25">
      <c r="A2" s="14"/>
      <c r="B2" s="11">
        <v>3</v>
      </c>
      <c r="C2" s="10" t="s">
        <v>339</v>
      </c>
      <c r="D2" s="11">
        <v>1</v>
      </c>
      <c r="E2" s="14" t="s">
        <v>336</v>
      </c>
      <c r="F2" s="11" t="s">
        <v>340</v>
      </c>
      <c r="G2" s="11">
        <v>1</v>
      </c>
      <c r="H2" s="10" t="s">
        <v>180</v>
      </c>
      <c r="I2" s="10" t="b">
        <v>1</v>
      </c>
      <c r="J2" s="11">
        <v>10</v>
      </c>
      <c r="K2" s="10" t="s">
        <v>19</v>
      </c>
      <c r="L2" s="10" t="s">
        <v>354</v>
      </c>
      <c r="M2" s="14" t="s">
        <v>118</v>
      </c>
      <c r="N2" s="14" t="s">
        <v>268</v>
      </c>
      <c r="O2" s="14" t="s">
        <v>119</v>
      </c>
    </row>
    <row r="3" spans="1:18" s="10" customFormat="1" ht="71.25" customHeight="1" x14ac:dyDescent="0.25">
      <c r="B3" s="11">
        <v>3</v>
      </c>
      <c r="C3" s="10" t="s">
        <v>339</v>
      </c>
      <c r="D3" s="11">
        <v>1</v>
      </c>
      <c r="E3" s="14" t="s">
        <v>336</v>
      </c>
      <c r="F3" s="11" t="s">
        <v>340</v>
      </c>
      <c r="G3" s="11">
        <v>1</v>
      </c>
      <c r="H3" s="10" t="s">
        <v>180</v>
      </c>
      <c r="I3" s="10" t="b">
        <v>1</v>
      </c>
      <c r="J3" s="11">
        <v>10</v>
      </c>
      <c r="K3" s="10" t="s">
        <v>21</v>
      </c>
      <c r="L3" s="10" t="s">
        <v>355</v>
      </c>
      <c r="M3" s="14" t="s">
        <v>120</v>
      </c>
      <c r="N3" s="10" t="s">
        <v>269</v>
      </c>
      <c r="O3" s="14" t="s">
        <v>300</v>
      </c>
    </row>
    <row r="4" spans="1:18" s="10" customFormat="1" ht="105" customHeight="1" x14ac:dyDescent="0.25">
      <c r="B4" s="11">
        <v>3</v>
      </c>
      <c r="C4" s="10" t="s">
        <v>339</v>
      </c>
      <c r="D4" s="11">
        <v>1</v>
      </c>
      <c r="E4" s="14" t="s">
        <v>336</v>
      </c>
      <c r="F4" s="11" t="s">
        <v>340</v>
      </c>
      <c r="G4" s="11">
        <v>1</v>
      </c>
      <c r="H4" s="10" t="s">
        <v>180</v>
      </c>
      <c r="I4" s="10" t="b">
        <v>1</v>
      </c>
      <c r="J4" s="11">
        <v>10</v>
      </c>
      <c r="K4" s="10" t="s">
        <v>23</v>
      </c>
      <c r="L4" s="10" t="s">
        <v>356</v>
      </c>
      <c r="M4" s="14" t="s">
        <v>121</v>
      </c>
      <c r="N4" s="10" t="s">
        <v>270</v>
      </c>
      <c r="O4" s="14" t="s">
        <v>122</v>
      </c>
    </row>
    <row r="5" spans="1:18" s="10" customFormat="1" ht="116.25" customHeight="1" x14ac:dyDescent="0.25">
      <c r="B5" s="11">
        <v>3</v>
      </c>
      <c r="C5" s="10" t="s">
        <v>339</v>
      </c>
      <c r="D5" s="11">
        <v>1</v>
      </c>
      <c r="E5" s="14" t="s">
        <v>336</v>
      </c>
      <c r="F5" s="11" t="s">
        <v>340</v>
      </c>
      <c r="G5" s="11">
        <v>1</v>
      </c>
      <c r="H5" s="10" t="s">
        <v>180</v>
      </c>
      <c r="I5" s="10" t="b">
        <v>1</v>
      </c>
      <c r="J5" s="11">
        <v>10</v>
      </c>
      <c r="K5" s="10" t="s">
        <v>25</v>
      </c>
      <c r="L5" s="10" t="s">
        <v>357</v>
      </c>
      <c r="M5" s="14" t="s">
        <v>123</v>
      </c>
      <c r="N5" s="10" t="s">
        <v>271</v>
      </c>
      <c r="O5" s="14" t="s">
        <v>124</v>
      </c>
    </row>
    <row r="6" spans="1:18" s="10" customFormat="1" ht="45" x14ac:dyDescent="0.25">
      <c r="B6" s="11">
        <v>3</v>
      </c>
      <c r="C6" s="10" t="s">
        <v>339</v>
      </c>
      <c r="D6" s="11">
        <v>1</v>
      </c>
      <c r="E6" s="14" t="s">
        <v>336</v>
      </c>
      <c r="F6" s="11" t="s">
        <v>340</v>
      </c>
      <c r="G6" s="11">
        <v>1</v>
      </c>
      <c r="H6" s="10" t="s">
        <v>180</v>
      </c>
      <c r="I6" s="10" t="b">
        <v>1</v>
      </c>
      <c r="J6" s="11">
        <v>10</v>
      </c>
      <c r="K6" s="10" t="s">
        <v>27</v>
      </c>
      <c r="L6" s="10" t="s">
        <v>358</v>
      </c>
      <c r="M6" s="14" t="s">
        <v>125</v>
      </c>
      <c r="N6" s="10" t="s">
        <v>272</v>
      </c>
      <c r="O6" s="14" t="s">
        <v>126</v>
      </c>
    </row>
    <row r="7" spans="1:18" s="10" customFormat="1" ht="30" x14ac:dyDescent="0.25">
      <c r="A7" s="14"/>
      <c r="B7" s="11">
        <v>3</v>
      </c>
      <c r="C7" s="10" t="s">
        <v>339</v>
      </c>
      <c r="D7" s="11">
        <v>1</v>
      </c>
      <c r="E7" s="14" t="s">
        <v>336</v>
      </c>
      <c r="F7" s="11" t="s">
        <v>340</v>
      </c>
      <c r="G7" s="11">
        <v>1</v>
      </c>
      <c r="H7" s="10" t="s">
        <v>180</v>
      </c>
      <c r="I7" s="10" t="b">
        <v>1</v>
      </c>
      <c r="J7" s="11">
        <v>10</v>
      </c>
      <c r="K7" s="10" t="s">
        <v>31</v>
      </c>
      <c r="L7" s="10" t="s">
        <v>359</v>
      </c>
      <c r="M7" s="14" t="s">
        <v>32</v>
      </c>
    </row>
    <row r="8" spans="1:18" s="10" customFormat="1" ht="90" x14ac:dyDescent="0.25">
      <c r="B8" s="11">
        <v>3</v>
      </c>
      <c r="C8" s="10" t="s">
        <v>339</v>
      </c>
      <c r="D8" s="11">
        <v>1</v>
      </c>
      <c r="E8" s="14" t="s">
        <v>336</v>
      </c>
      <c r="F8" s="11" t="s">
        <v>341</v>
      </c>
      <c r="G8" s="11">
        <v>2</v>
      </c>
      <c r="H8" s="10" t="s">
        <v>181</v>
      </c>
      <c r="I8" s="10" t="b">
        <v>0</v>
      </c>
      <c r="J8" s="11">
        <v>1</v>
      </c>
      <c r="K8" s="10" t="s">
        <v>127</v>
      </c>
      <c r="L8" s="10" t="s">
        <v>360</v>
      </c>
      <c r="M8" s="14" t="s">
        <v>128</v>
      </c>
      <c r="N8" s="14" t="s">
        <v>273</v>
      </c>
      <c r="O8" s="14" t="s">
        <v>129</v>
      </c>
    </row>
    <row r="9" spans="1:18" s="10" customFormat="1" ht="96.75" customHeight="1" x14ac:dyDescent="0.25">
      <c r="A9" s="14"/>
      <c r="B9" s="11">
        <v>3</v>
      </c>
      <c r="C9" s="10" t="s">
        <v>339</v>
      </c>
      <c r="D9" s="11">
        <v>1</v>
      </c>
      <c r="E9" s="14" t="s">
        <v>336</v>
      </c>
      <c r="F9" s="11" t="s">
        <v>341</v>
      </c>
      <c r="G9" s="11">
        <v>2</v>
      </c>
      <c r="H9" s="10" t="s">
        <v>181</v>
      </c>
      <c r="I9" s="10" t="b">
        <v>0</v>
      </c>
      <c r="J9" s="11">
        <v>1</v>
      </c>
      <c r="K9" s="10" t="s">
        <v>21</v>
      </c>
      <c r="L9" s="10" t="s">
        <v>361</v>
      </c>
      <c r="M9" s="14" t="s">
        <v>130</v>
      </c>
      <c r="N9" s="14" t="s">
        <v>274</v>
      </c>
      <c r="O9" s="14" t="s">
        <v>452</v>
      </c>
    </row>
    <row r="10" spans="1:18" s="10" customFormat="1" ht="180" x14ac:dyDescent="0.25">
      <c r="B10" s="11">
        <v>3</v>
      </c>
      <c r="C10" s="10" t="s">
        <v>339</v>
      </c>
      <c r="D10" s="11">
        <v>1</v>
      </c>
      <c r="E10" s="14" t="s">
        <v>336</v>
      </c>
      <c r="F10" s="11" t="s">
        <v>341</v>
      </c>
      <c r="G10" s="11">
        <v>2</v>
      </c>
      <c r="H10" s="10" t="s">
        <v>181</v>
      </c>
      <c r="I10" s="10" t="b">
        <v>0</v>
      </c>
      <c r="J10" s="11">
        <v>1</v>
      </c>
      <c r="K10" s="10" t="s">
        <v>23</v>
      </c>
      <c r="L10" s="10" t="s">
        <v>362</v>
      </c>
      <c r="M10" s="14" t="s">
        <v>131</v>
      </c>
      <c r="N10" s="14" t="s">
        <v>275</v>
      </c>
      <c r="O10" s="14" t="s">
        <v>132</v>
      </c>
    </row>
    <row r="11" spans="1:18" s="10" customFormat="1" ht="283.5" customHeight="1" x14ac:dyDescent="0.25">
      <c r="B11" s="11">
        <v>3</v>
      </c>
      <c r="C11" s="10" t="s">
        <v>339</v>
      </c>
      <c r="D11" s="11">
        <v>1</v>
      </c>
      <c r="E11" s="14" t="s">
        <v>336</v>
      </c>
      <c r="F11" s="11" t="s">
        <v>342</v>
      </c>
      <c r="G11" s="11">
        <v>3</v>
      </c>
      <c r="H11" s="10" t="s">
        <v>453</v>
      </c>
      <c r="I11" s="10" t="b">
        <v>0</v>
      </c>
      <c r="J11" s="11">
        <v>1</v>
      </c>
      <c r="K11" s="10" t="s">
        <v>19</v>
      </c>
      <c r="L11" s="10" t="s">
        <v>363</v>
      </c>
      <c r="M11" s="14" t="s">
        <v>133</v>
      </c>
      <c r="N11" s="14" t="s">
        <v>276</v>
      </c>
      <c r="O11" s="14" t="s">
        <v>134</v>
      </c>
    </row>
    <row r="12" spans="1:18" s="10" customFormat="1" ht="409.5" x14ac:dyDescent="0.25">
      <c r="B12" s="11">
        <v>3</v>
      </c>
      <c r="C12" s="10" t="s">
        <v>339</v>
      </c>
      <c r="D12" s="11">
        <v>1</v>
      </c>
      <c r="E12" s="14" t="s">
        <v>336</v>
      </c>
      <c r="F12" s="11" t="s">
        <v>342</v>
      </c>
      <c r="G12" s="11">
        <v>3</v>
      </c>
      <c r="H12" s="10" t="s">
        <v>453</v>
      </c>
      <c r="I12" s="10" t="b">
        <v>0</v>
      </c>
      <c r="J12" s="11">
        <v>1</v>
      </c>
      <c r="K12" s="10" t="s">
        <v>21</v>
      </c>
      <c r="L12" s="10" t="s">
        <v>364</v>
      </c>
      <c r="M12" s="14" t="s">
        <v>135</v>
      </c>
      <c r="N12" s="10" t="s">
        <v>277</v>
      </c>
      <c r="O12" s="14" t="s">
        <v>136</v>
      </c>
    </row>
    <row r="13" spans="1:18" s="10" customFormat="1" ht="96.75" customHeight="1" x14ac:dyDescent="0.25">
      <c r="B13" s="11">
        <v>3</v>
      </c>
      <c r="C13" s="10" t="s">
        <v>339</v>
      </c>
      <c r="D13" s="11">
        <v>1</v>
      </c>
      <c r="E13" s="14" t="s">
        <v>336</v>
      </c>
      <c r="F13" s="11" t="s">
        <v>342</v>
      </c>
      <c r="G13" s="11">
        <v>3</v>
      </c>
      <c r="H13" s="10" t="s">
        <v>453</v>
      </c>
      <c r="I13" s="10" t="b">
        <v>0</v>
      </c>
      <c r="J13" s="11">
        <v>1</v>
      </c>
      <c r="K13" s="10" t="s">
        <v>23</v>
      </c>
      <c r="L13" s="10" t="s">
        <v>365</v>
      </c>
      <c r="M13" s="14" t="s">
        <v>137</v>
      </c>
      <c r="N13" s="10" t="s">
        <v>278</v>
      </c>
      <c r="O13" s="14" t="s">
        <v>138</v>
      </c>
    </row>
    <row r="14" spans="1:18" s="8" customFormat="1" ht="408.75" customHeight="1" x14ac:dyDescent="0.25">
      <c r="B14" s="11">
        <v>3</v>
      </c>
      <c r="C14" s="10" t="s">
        <v>339</v>
      </c>
      <c r="D14" s="6">
        <v>1</v>
      </c>
      <c r="E14" s="14" t="s">
        <v>336</v>
      </c>
      <c r="F14" s="11" t="s">
        <v>342</v>
      </c>
      <c r="G14" s="11">
        <v>3</v>
      </c>
      <c r="H14" s="10" t="s">
        <v>453</v>
      </c>
      <c r="I14" s="10" t="b">
        <v>0</v>
      </c>
      <c r="J14" s="11">
        <v>1</v>
      </c>
      <c r="K14" s="10" t="s">
        <v>25</v>
      </c>
      <c r="L14" s="10" t="s">
        <v>366</v>
      </c>
      <c r="M14" s="14" t="s">
        <v>139</v>
      </c>
      <c r="N14" s="10" t="s">
        <v>279</v>
      </c>
      <c r="O14" s="14" t="s">
        <v>140</v>
      </c>
    </row>
    <row r="15" spans="1:18" s="10" customFormat="1" ht="30" x14ac:dyDescent="0.25">
      <c r="B15" s="11">
        <v>3</v>
      </c>
      <c r="C15" s="10" t="s">
        <v>339</v>
      </c>
      <c r="D15" s="11">
        <v>1</v>
      </c>
      <c r="E15" s="7" t="s">
        <v>336</v>
      </c>
      <c r="F15" s="11" t="s">
        <v>342</v>
      </c>
      <c r="G15" s="11">
        <v>3</v>
      </c>
      <c r="H15" s="10" t="s">
        <v>453</v>
      </c>
      <c r="I15" s="10" t="b">
        <v>0</v>
      </c>
      <c r="J15" s="11">
        <v>1</v>
      </c>
      <c r="K15" s="8" t="s">
        <v>31</v>
      </c>
      <c r="L15" s="10" t="s">
        <v>367</v>
      </c>
      <c r="M15" s="8" t="s">
        <v>32</v>
      </c>
      <c r="N15" s="8"/>
      <c r="O15" s="8"/>
    </row>
    <row r="16" spans="1:18" s="10" customFormat="1" ht="30" x14ac:dyDescent="0.25">
      <c r="B16" s="11">
        <v>3</v>
      </c>
      <c r="C16" s="10" t="s">
        <v>339</v>
      </c>
      <c r="D16" s="11">
        <v>2</v>
      </c>
      <c r="E16" s="14" t="s">
        <v>337</v>
      </c>
      <c r="F16" s="11" t="s">
        <v>343</v>
      </c>
      <c r="G16" s="11">
        <v>4</v>
      </c>
      <c r="H16" s="10" t="s">
        <v>141</v>
      </c>
      <c r="I16" s="10" t="b">
        <v>0</v>
      </c>
      <c r="J16" s="11">
        <v>1</v>
      </c>
      <c r="K16" s="10" t="s">
        <v>19</v>
      </c>
      <c r="L16" s="10" t="s">
        <v>368</v>
      </c>
      <c r="M16" s="14" t="s">
        <v>142</v>
      </c>
      <c r="N16" s="14" t="s">
        <v>280</v>
      </c>
      <c r="O16" s="14" t="s">
        <v>143</v>
      </c>
    </row>
    <row r="17" spans="2:15" s="10" customFormat="1" ht="45" x14ac:dyDescent="0.25">
      <c r="B17" s="11">
        <v>3</v>
      </c>
      <c r="C17" s="10" t="s">
        <v>339</v>
      </c>
      <c r="D17" s="11">
        <v>2</v>
      </c>
      <c r="E17" s="14" t="s">
        <v>337</v>
      </c>
      <c r="F17" s="11" t="s">
        <v>343</v>
      </c>
      <c r="G17" s="11">
        <v>4</v>
      </c>
      <c r="H17" s="10" t="s">
        <v>141</v>
      </c>
      <c r="I17" s="10" t="b">
        <v>0</v>
      </c>
      <c r="J17" s="11">
        <v>1</v>
      </c>
      <c r="K17" s="10" t="s">
        <v>21</v>
      </c>
      <c r="L17" s="10" t="s">
        <v>369</v>
      </c>
      <c r="M17" s="14" t="s">
        <v>144</v>
      </c>
      <c r="N17" s="14" t="s">
        <v>281</v>
      </c>
      <c r="O17" s="14" t="s">
        <v>145</v>
      </c>
    </row>
    <row r="18" spans="2:15" s="10" customFormat="1" ht="61.5" customHeight="1" x14ac:dyDescent="0.25">
      <c r="B18" s="11">
        <v>3</v>
      </c>
      <c r="C18" s="10" t="s">
        <v>339</v>
      </c>
      <c r="D18" s="11">
        <v>2</v>
      </c>
      <c r="E18" s="14" t="s">
        <v>337</v>
      </c>
      <c r="F18" s="11" t="s">
        <v>343</v>
      </c>
      <c r="G18" s="11">
        <v>4</v>
      </c>
      <c r="H18" s="10" t="s">
        <v>141</v>
      </c>
      <c r="I18" s="10" t="b">
        <v>0</v>
      </c>
      <c r="J18" s="11">
        <v>1</v>
      </c>
      <c r="K18" s="10" t="s">
        <v>23</v>
      </c>
      <c r="L18" s="10" t="s">
        <v>370</v>
      </c>
      <c r="M18" s="14" t="s">
        <v>146</v>
      </c>
      <c r="N18" s="14" t="s">
        <v>282</v>
      </c>
      <c r="O18" s="14" t="s">
        <v>147</v>
      </c>
    </row>
    <row r="19" spans="2:15" s="10" customFormat="1" ht="75" x14ac:dyDescent="0.25">
      <c r="B19" s="11">
        <v>3</v>
      </c>
      <c r="C19" s="10" t="s">
        <v>339</v>
      </c>
      <c r="D19" s="11">
        <v>2</v>
      </c>
      <c r="E19" s="14" t="s">
        <v>337</v>
      </c>
      <c r="F19" s="11" t="s">
        <v>344</v>
      </c>
      <c r="G19" s="11">
        <v>5</v>
      </c>
      <c r="H19" s="10" t="s">
        <v>148</v>
      </c>
      <c r="I19" s="10" t="b">
        <v>0</v>
      </c>
      <c r="J19" s="11">
        <v>1</v>
      </c>
      <c r="K19" s="10" t="s">
        <v>19</v>
      </c>
      <c r="L19" s="10" t="s">
        <v>371</v>
      </c>
      <c r="M19" s="14" t="s">
        <v>149</v>
      </c>
      <c r="N19" s="14" t="s">
        <v>283</v>
      </c>
      <c r="O19" s="14" t="s">
        <v>150</v>
      </c>
    </row>
    <row r="20" spans="2:15" s="10" customFormat="1" ht="126" customHeight="1" x14ac:dyDescent="0.25">
      <c r="B20" s="11">
        <v>3</v>
      </c>
      <c r="C20" s="10" t="s">
        <v>339</v>
      </c>
      <c r="D20" s="11">
        <v>2</v>
      </c>
      <c r="E20" s="14" t="s">
        <v>337</v>
      </c>
      <c r="F20" s="11" t="s">
        <v>344</v>
      </c>
      <c r="G20" s="11">
        <v>5</v>
      </c>
      <c r="H20" s="10" t="s">
        <v>148</v>
      </c>
      <c r="I20" s="10" t="b">
        <v>0</v>
      </c>
      <c r="J20" s="11">
        <v>1</v>
      </c>
      <c r="K20" s="10" t="s">
        <v>21</v>
      </c>
      <c r="L20" s="10" t="s">
        <v>372</v>
      </c>
      <c r="M20" s="10" t="s">
        <v>454</v>
      </c>
      <c r="N20" s="10" t="s">
        <v>284</v>
      </c>
      <c r="O20" s="10" t="s">
        <v>151</v>
      </c>
    </row>
    <row r="21" spans="2:15" s="10" customFormat="1" ht="123" customHeight="1" x14ac:dyDescent="0.25">
      <c r="B21" s="11">
        <v>3</v>
      </c>
      <c r="C21" s="10" t="s">
        <v>339</v>
      </c>
      <c r="D21" s="11">
        <v>2</v>
      </c>
      <c r="E21" s="14" t="s">
        <v>337</v>
      </c>
      <c r="F21" s="11" t="s">
        <v>344</v>
      </c>
      <c r="G21" s="11">
        <v>5</v>
      </c>
      <c r="H21" s="10" t="s">
        <v>148</v>
      </c>
      <c r="I21" s="10" t="b">
        <v>0</v>
      </c>
      <c r="J21" s="11">
        <v>1</v>
      </c>
      <c r="K21" s="10" t="s">
        <v>23</v>
      </c>
      <c r="L21" s="10" t="s">
        <v>373</v>
      </c>
      <c r="M21" s="14" t="s">
        <v>152</v>
      </c>
      <c r="N21" s="14" t="s">
        <v>285</v>
      </c>
      <c r="O21" s="14" t="s">
        <v>153</v>
      </c>
    </row>
    <row r="22" spans="2:15" s="10" customFormat="1" ht="30" x14ac:dyDescent="0.25">
      <c r="B22" s="11">
        <v>3</v>
      </c>
      <c r="C22" s="10" t="s">
        <v>339</v>
      </c>
      <c r="D22" s="11">
        <v>2</v>
      </c>
      <c r="E22" s="14" t="s">
        <v>337</v>
      </c>
      <c r="F22" s="11" t="s">
        <v>344</v>
      </c>
      <c r="G22" s="11">
        <v>5</v>
      </c>
      <c r="H22" s="10" t="s">
        <v>148</v>
      </c>
      <c r="I22" s="10" t="b">
        <v>0</v>
      </c>
      <c r="J22" s="11">
        <v>1</v>
      </c>
      <c r="K22" s="10" t="s">
        <v>31</v>
      </c>
      <c r="L22" s="10" t="s">
        <v>374</v>
      </c>
      <c r="M22" s="14" t="s">
        <v>32</v>
      </c>
      <c r="N22" s="14"/>
      <c r="O22" s="14"/>
    </row>
    <row r="23" spans="2:15" s="10" customFormat="1" ht="30" x14ac:dyDescent="0.25">
      <c r="B23" s="11">
        <v>3</v>
      </c>
      <c r="C23" s="10" t="s">
        <v>339</v>
      </c>
      <c r="D23" s="11">
        <v>2</v>
      </c>
      <c r="E23" s="14" t="s">
        <v>337</v>
      </c>
      <c r="F23" s="11" t="s">
        <v>345</v>
      </c>
      <c r="G23" s="11">
        <v>6</v>
      </c>
      <c r="H23" s="10" t="s">
        <v>154</v>
      </c>
      <c r="I23" s="10" t="b">
        <v>0</v>
      </c>
      <c r="J23" s="11">
        <v>1</v>
      </c>
      <c r="K23" s="10" t="s">
        <v>19</v>
      </c>
      <c r="L23" s="10" t="s">
        <v>375</v>
      </c>
      <c r="M23" s="10" t="s">
        <v>155</v>
      </c>
      <c r="N23" s="10" t="s">
        <v>286</v>
      </c>
      <c r="O23" s="10" t="s">
        <v>156</v>
      </c>
    </row>
    <row r="24" spans="2:15" s="10" customFormat="1" ht="30" x14ac:dyDescent="0.25">
      <c r="B24" s="11">
        <v>3</v>
      </c>
      <c r="C24" s="10" t="s">
        <v>339</v>
      </c>
      <c r="D24" s="11">
        <v>2</v>
      </c>
      <c r="E24" s="14" t="s">
        <v>337</v>
      </c>
      <c r="F24" s="11" t="s">
        <v>345</v>
      </c>
      <c r="G24" s="11">
        <v>6</v>
      </c>
      <c r="H24" s="10" t="s">
        <v>154</v>
      </c>
      <c r="I24" s="10" t="b">
        <v>0</v>
      </c>
      <c r="J24" s="11">
        <v>1</v>
      </c>
      <c r="K24" s="10" t="s">
        <v>21</v>
      </c>
      <c r="L24" s="10" t="s">
        <v>376</v>
      </c>
      <c r="M24" s="10" t="s">
        <v>157</v>
      </c>
      <c r="N24" s="10" t="s">
        <v>287</v>
      </c>
      <c r="O24" s="10" t="s">
        <v>158</v>
      </c>
    </row>
    <row r="25" spans="2:15" s="10" customFormat="1" ht="45" x14ac:dyDescent="0.25">
      <c r="B25" s="11">
        <v>3</v>
      </c>
      <c r="C25" s="10" t="s">
        <v>339</v>
      </c>
      <c r="D25" s="11">
        <v>2</v>
      </c>
      <c r="E25" s="14" t="s">
        <v>337</v>
      </c>
      <c r="F25" s="11" t="s">
        <v>345</v>
      </c>
      <c r="G25" s="11">
        <v>6</v>
      </c>
      <c r="H25" s="10" t="s">
        <v>154</v>
      </c>
      <c r="I25" s="10" t="b">
        <v>0</v>
      </c>
      <c r="J25" s="11">
        <v>1</v>
      </c>
      <c r="K25" s="10" t="s">
        <v>23</v>
      </c>
      <c r="L25" s="10" t="s">
        <v>377</v>
      </c>
      <c r="M25" s="10" t="s">
        <v>159</v>
      </c>
      <c r="N25" s="10" t="s">
        <v>288</v>
      </c>
      <c r="O25" s="10" t="s">
        <v>160</v>
      </c>
    </row>
    <row r="26" spans="2:15" s="10" customFormat="1" ht="30" x14ac:dyDescent="0.25">
      <c r="B26" s="11">
        <v>3</v>
      </c>
      <c r="C26" s="10" t="s">
        <v>339</v>
      </c>
      <c r="D26" s="11">
        <v>2</v>
      </c>
      <c r="E26" s="14" t="s">
        <v>337</v>
      </c>
      <c r="F26" s="11" t="s">
        <v>346</v>
      </c>
      <c r="G26" s="11">
        <v>7</v>
      </c>
      <c r="H26" s="10" t="s">
        <v>161</v>
      </c>
      <c r="I26" s="10" t="b">
        <v>0</v>
      </c>
      <c r="J26" s="11">
        <v>1</v>
      </c>
      <c r="K26" s="10" t="s">
        <v>19</v>
      </c>
      <c r="L26" s="10" t="s">
        <v>378</v>
      </c>
      <c r="M26" s="10" t="s">
        <v>162</v>
      </c>
      <c r="N26" s="10" t="s">
        <v>289</v>
      </c>
      <c r="O26" s="10" t="s">
        <v>163</v>
      </c>
    </row>
    <row r="27" spans="2:15" s="10" customFormat="1" ht="45" x14ac:dyDescent="0.25">
      <c r="B27" s="11">
        <v>3</v>
      </c>
      <c r="C27" s="10" t="s">
        <v>339</v>
      </c>
      <c r="D27" s="11">
        <v>2</v>
      </c>
      <c r="E27" s="14" t="s">
        <v>337</v>
      </c>
      <c r="F27" s="11" t="s">
        <v>346</v>
      </c>
      <c r="G27" s="11">
        <v>7</v>
      </c>
      <c r="H27" s="10" t="s">
        <v>161</v>
      </c>
      <c r="I27" s="10" t="b">
        <v>0</v>
      </c>
      <c r="J27" s="11">
        <v>1</v>
      </c>
      <c r="K27" s="10" t="s">
        <v>21</v>
      </c>
      <c r="L27" s="10" t="s">
        <v>379</v>
      </c>
      <c r="M27" s="10" t="s">
        <v>164</v>
      </c>
      <c r="N27" s="10" t="s">
        <v>290</v>
      </c>
      <c r="O27" s="10" t="s">
        <v>165</v>
      </c>
    </row>
    <row r="28" spans="2:15" s="10" customFormat="1" ht="63" customHeight="1" x14ac:dyDescent="0.25">
      <c r="B28" s="11">
        <v>3</v>
      </c>
      <c r="C28" s="10" t="s">
        <v>339</v>
      </c>
      <c r="D28" s="11">
        <v>2</v>
      </c>
      <c r="E28" s="14" t="s">
        <v>337</v>
      </c>
      <c r="F28" s="11" t="s">
        <v>346</v>
      </c>
      <c r="G28" s="11">
        <v>7</v>
      </c>
      <c r="H28" s="10" t="s">
        <v>161</v>
      </c>
      <c r="I28" s="10" t="b">
        <v>0</v>
      </c>
      <c r="J28" s="11">
        <v>1</v>
      </c>
      <c r="K28" s="10" t="s">
        <v>23</v>
      </c>
      <c r="L28" s="10" t="s">
        <v>380</v>
      </c>
      <c r="M28" s="10" t="s">
        <v>166</v>
      </c>
      <c r="N28" s="10" t="s">
        <v>291</v>
      </c>
      <c r="O28" s="10" t="s">
        <v>167</v>
      </c>
    </row>
    <row r="29" spans="2:15" s="10" customFormat="1" ht="104.25" customHeight="1" x14ac:dyDescent="0.25">
      <c r="B29" s="11">
        <v>3</v>
      </c>
      <c r="C29" s="10" t="s">
        <v>339</v>
      </c>
      <c r="D29" s="11">
        <v>2</v>
      </c>
      <c r="E29" s="14" t="s">
        <v>337</v>
      </c>
      <c r="F29" s="11" t="s">
        <v>347</v>
      </c>
      <c r="G29" s="11">
        <v>8</v>
      </c>
      <c r="H29" s="10" t="s">
        <v>168</v>
      </c>
      <c r="I29" s="10" t="b">
        <v>0</v>
      </c>
      <c r="J29" s="11">
        <v>1</v>
      </c>
      <c r="K29" s="10" t="s">
        <v>19</v>
      </c>
      <c r="L29" s="10" t="s">
        <v>381</v>
      </c>
      <c r="M29" s="10" t="s">
        <v>169</v>
      </c>
      <c r="N29" s="10" t="s">
        <v>292</v>
      </c>
      <c r="O29" s="10" t="s">
        <v>170</v>
      </c>
    </row>
    <row r="30" spans="2:15" s="10" customFormat="1" ht="68.25" customHeight="1" x14ac:dyDescent="0.25">
      <c r="B30" s="11">
        <v>3</v>
      </c>
      <c r="C30" s="10" t="s">
        <v>339</v>
      </c>
      <c r="D30" s="11">
        <v>2</v>
      </c>
      <c r="E30" s="14" t="s">
        <v>337</v>
      </c>
      <c r="F30" s="11" t="s">
        <v>347</v>
      </c>
      <c r="G30" s="11">
        <v>8</v>
      </c>
      <c r="H30" s="10" t="s">
        <v>168</v>
      </c>
      <c r="I30" s="10" t="b">
        <v>0</v>
      </c>
      <c r="J30" s="11">
        <v>1</v>
      </c>
      <c r="K30" s="10" t="s">
        <v>21</v>
      </c>
      <c r="L30" s="10" t="s">
        <v>382</v>
      </c>
      <c r="M30" s="10" t="s">
        <v>171</v>
      </c>
      <c r="N30" s="10" t="s">
        <v>293</v>
      </c>
      <c r="O30" s="10" t="s">
        <v>172</v>
      </c>
    </row>
    <row r="31" spans="2:15" s="10" customFormat="1" ht="68.25" customHeight="1" x14ac:dyDescent="0.25">
      <c r="B31" s="11">
        <v>3</v>
      </c>
      <c r="C31" s="10" t="s">
        <v>339</v>
      </c>
      <c r="D31" s="11">
        <v>2</v>
      </c>
      <c r="E31" s="14" t="s">
        <v>337</v>
      </c>
      <c r="F31" s="11" t="s">
        <v>347</v>
      </c>
      <c r="G31" s="11">
        <v>8</v>
      </c>
      <c r="H31" s="10" t="s">
        <v>168</v>
      </c>
      <c r="I31" s="10" t="b">
        <v>0</v>
      </c>
      <c r="J31" s="11">
        <v>1</v>
      </c>
      <c r="K31" s="10" t="s">
        <v>23</v>
      </c>
      <c r="L31" s="10" t="s">
        <v>383</v>
      </c>
      <c r="M31" s="10" t="s">
        <v>173</v>
      </c>
      <c r="N31" s="10" t="s">
        <v>294</v>
      </c>
      <c r="O31" s="10" t="s">
        <v>174</v>
      </c>
    </row>
    <row r="32" spans="2:15" s="18" customFormat="1" ht="30" x14ac:dyDescent="0.25">
      <c r="B32" s="11">
        <v>3</v>
      </c>
      <c r="C32" s="10" t="s">
        <v>339</v>
      </c>
      <c r="D32" s="11">
        <v>2</v>
      </c>
      <c r="E32" s="14" t="s">
        <v>337</v>
      </c>
      <c r="F32" s="11" t="s">
        <v>347</v>
      </c>
      <c r="G32" s="11">
        <v>8</v>
      </c>
      <c r="H32" s="10" t="s">
        <v>168</v>
      </c>
      <c r="I32" s="10" t="b">
        <v>0</v>
      </c>
      <c r="J32" s="11">
        <v>1</v>
      </c>
      <c r="K32" s="10" t="s">
        <v>31</v>
      </c>
      <c r="L32" s="10" t="s">
        <v>384</v>
      </c>
      <c r="M32" s="8" t="s">
        <v>32</v>
      </c>
      <c r="N32" s="10"/>
      <c r="O32" s="10"/>
    </row>
    <row r="33" spans="2:15" s="18" customFormat="1" ht="146.25" customHeight="1" x14ac:dyDescent="0.25">
      <c r="B33" s="11">
        <v>3</v>
      </c>
      <c r="C33" s="10" t="s">
        <v>339</v>
      </c>
      <c r="D33" s="19">
        <v>3</v>
      </c>
      <c r="E33" s="14" t="s">
        <v>338</v>
      </c>
      <c r="F33" s="11" t="s">
        <v>348</v>
      </c>
      <c r="G33" s="6">
        <v>9</v>
      </c>
      <c r="H33" s="9" t="s">
        <v>301</v>
      </c>
      <c r="I33" s="8" t="b">
        <v>1</v>
      </c>
      <c r="J33" s="6">
        <v>10</v>
      </c>
      <c r="K33" s="6" t="s">
        <v>19</v>
      </c>
      <c r="L33" s="10" t="s">
        <v>385</v>
      </c>
      <c r="M33" s="9" t="s">
        <v>265</v>
      </c>
      <c r="N33" s="8" t="s">
        <v>305</v>
      </c>
      <c r="O33" s="8" t="s">
        <v>302</v>
      </c>
    </row>
    <row r="34" spans="2:15" s="18" customFormat="1" ht="90" x14ac:dyDescent="0.25">
      <c r="B34" s="11">
        <v>3</v>
      </c>
      <c r="C34" s="10" t="s">
        <v>339</v>
      </c>
      <c r="D34" s="19">
        <v>3</v>
      </c>
      <c r="E34" s="17" t="s">
        <v>338</v>
      </c>
      <c r="F34" s="11" t="s">
        <v>348</v>
      </c>
      <c r="G34" s="6">
        <v>9</v>
      </c>
      <c r="H34" s="9" t="s">
        <v>301</v>
      </c>
      <c r="I34" s="8" t="b">
        <v>1</v>
      </c>
      <c r="J34" s="6">
        <v>10</v>
      </c>
      <c r="K34" s="6" t="s">
        <v>21</v>
      </c>
      <c r="L34" s="10" t="s">
        <v>386</v>
      </c>
      <c r="M34" s="9" t="s">
        <v>266</v>
      </c>
      <c r="N34" s="8" t="s">
        <v>304</v>
      </c>
      <c r="O34" s="8" t="s">
        <v>303</v>
      </c>
    </row>
    <row r="35" spans="2:15" s="18" customFormat="1" ht="175.5" customHeight="1" x14ac:dyDescent="0.25">
      <c r="B35" s="11">
        <v>3</v>
      </c>
      <c r="C35" s="10" t="s">
        <v>339</v>
      </c>
      <c r="D35" s="19">
        <v>3</v>
      </c>
      <c r="E35" s="17" t="s">
        <v>338</v>
      </c>
      <c r="F35" s="11" t="s">
        <v>348</v>
      </c>
      <c r="G35" s="6">
        <v>9</v>
      </c>
      <c r="H35" s="9" t="s">
        <v>301</v>
      </c>
      <c r="I35" s="8" t="b">
        <v>1</v>
      </c>
      <c r="J35" s="6">
        <v>10</v>
      </c>
      <c r="K35" s="6" t="s">
        <v>23</v>
      </c>
      <c r="L35" s="10" t="s">
        <v>387</v>
      </c>
      <c r="M35" s="9" t="s">
        <v>267</v>
      </c>
      <c r="N35" s="8" t="s">
        <v>307</v>
      </c>
      <c r="O35" s="8" t="s">
        <v>306</v>
      </c>
    </row>
    <row r="36" spans="2:15" s="18" customFormat="1" ht="30" x14ac:dyDescent="0.25">
      <c r="B36" s="11">
        <v>3</v>
      </c>
      <c r="C36" s="10" t="s">
        <v>339</v>
      </c>
      <c r="D36" s="19">
        <v>3</v>
      </c>
      <c r="E36" s="17" t="s">
        <v>338</v>
      </c>
      <c r="F36" s="11" t="s">
        <v>348</v>
      </c>
      <c r="G36" s="6">
        <v>9</v>
      </c>
      <c r="H36" s="9" t="s">
        <v>301</v>
      </c>
      <c r="I36" s="8" t="b">
        <v>1</v>
      </c>
      <c r="J36" s="6">
        <v>10</v>
      </c>
      <c r="K36" s="6" t="s">
        <v>31</v>
      </c>
      <c r="L36" s="10" t="s">
        <v>388</v>
      </c>
      <c r="M36" s="8" t="s">
        <v>32</v>
      </c>
      <c r="N36" s="8"/>
      <c r="O36" s="8"/>
    </row>
    <row r="37" spans="2:15" s="8" customFormat="1" ht="167.25" customHeight="1" x14ac:dyDescent="0.25">
      <c r="B37" s="11">
        <v>3</v>
      </c>
      <c r="C37" s="10" t="s">
        <v>339</v>
      </c>
      <c r="D37" s="19">
        <v>3</v>
      </c>
      <c r="E37" s="17" t="s">
        <v>338</v>
      </c>
      <c r="F37" s="6" t="s">
        <v>349</v>
      </c>
      <c r="G37" s="6">
        <v>10</v>
      </c>
      <c r="H37" s="7" t="s">
        <v>114</v>
      </c>
      <c r="I37" s="8" t="b">
        <v>1</v>
      </c>
      <c r="J37" s="6">
        <v>10</v>
      </c>
      <c r="K37" s="6" t="s">
        <v>19</v>
      </c>
      <c r="M37" s="7" t="s">
        <v>107</v>
      </c>
      <c r="N37" s="8" t="s">
        <v>116</v>
      </c>
      <c r="O37" s="8" t="s">
        <v>115</v>
      </c>
    </row>
    <row r="38" spans="2:15" s="8" customFormat="1" ht="164.25" customHeight="1" x14ac:dyDescent="0.25">
      <c r="B38" s="11">
        <v>3</v>
      </c>
      <c r="C38" s="10" t="s">
        <v>339</v>
      </c>
      <c r="D38" s="19">
        <v>3</v>
      </c>
      <c r="E38" s="17" t="s">
        <v>338</v>
      </c>
      <c r="F38" s="6" t="s">
        <v>349</v>
      </c>
      <c r="G38" s="6">
        <v>10</v>
      </c>
      <c r="H38" s="7" t="s">
        <v>114</v>
      </c>
      <c r="I38" s="8" t="b">
        <v>1</v>
      </c>
      <c r="J38" s="6">
        <v>10</v>
      </c>
      <c r="K38" s="6" t="s">
        <v>21</v>
      </c>
      <c r="M38" s="7" t="s">
        <v>108</v>
      </c>
      <c r="N38" s="8" t="s">
        <v>117</v>
      </c>
      <c r="O38" s="8" t="s">
        <v>109</v>
      </c>
    </row>
    <row r="39" spans="2:15" s="8" customFormat="1" ht="203.25" customHeight="1" x14ac:dyDescent="0.25">
      <c r="B39" s="11">
        <v>3</v>
      </c>
      <c r="C39" s="10" t="s">
        <v>339</v>
      </c>
      <c r="D39" s="19">
        <v>3</v>
      </c>
      <c r="E39" s="17" t="s">
        <v>338</v>
      </c>
      <c r="F39" s="6" t="s">
        <v>349</v>
      </c>
      <c r="G39" s="6">
        <v>10</v>
      </c>
      <c r="H39" s="7" t="s">
        <v>114</v>
      </c>
      <c r="I39" s="8" t="b">
        <v>1</v>
      </c>
      <c r="J39" s="6">
        <v>10</v>
      </c>
      <c r="K39" s="6" t="s">
        <v>23</v>
      </c>
      <c r="M39" s="7" t="s">
        <v>110</v>
      </c>
      <c r="N39" s="8" t="s">
        <v>466</v>
      </c>
      <c r="O39" s="8" t="s">
        <v>467</v>
      </c>
    </row>
    <row r="40" spans="2:15" s="18" customFormat="1" ht="75" x14ac:dyDescent="0.25">
      <c r="B40" s="11">
        <v>3</v>
      </c>
      <c r="C40" s="10" t="s">
        <v>339</v>
      </c>
      <c r="D40" s="19">
        <v>4</v>
      </c>
      <c r="E40" s="17" t="s">
        <v>335</v>
      </c>
      <c r="F40" s="6" t="s">
        <v>350</v>
      </c>
      <c r="G40" s="19">
        <v>11</v>
      </c>
      <c r="H40" s="2" t="s">
        <v>308</v>
      </c>
      <c r="I40" s="18" t="b">
        <v>0</v>
      </c>
      <c r="J40" s="19">
        <v>1</v>
      </c>
      <c r="K40" s="6" t="s">
        <v>19</v>
      </c>
      <c r="L40" s="10" t="s">
        <v>389</v>
      </c>
      <c r="M40" s="2" t="s">
        <v>246</v>
      </c>
      <c r="N40" s="10" t="s">
        <v>327</v>
      </c>
      <c r="O40" s="10" t="s">
        <v>324</v>
      </c>
    </row>
    <row r="41" spans="2:15" s="18" customFormat="1" ht="90" x14ac:dyDescent="0.25">
      <c r="B41" s="11">
        <v>3</v>
      </c>
      <c r="C41" s="10" t="s">
        <v>339</v>
      </c>
      <c r="D41" s="19">
        <v>4</v>
      </c>
      <c r="E41" s="17" t="s">
        <v>335</v>
      </c>
      <c r="F41" s="6" t="s">
        <v>350</v>
      </c>
      <c r="G41" s="19">
        <v>11</v>
      </c>
      <c r="H41" s="2" t="s">
        <v>308</v>
      </c>
      <c r="I41" s="18" t="b">
        <v>0</v>
      </c>
      <c r="J41" s="19">
        <v>1</v>
      </c>
      <c r="K41" s="6" t="s">
        <v>21</v>
      </c>
      <c r="L41" s="10" t="s">
        <v>390</v>
      </c>
      <c r="M41" s="2" t="s">
        <v>247</v>
      </c>
      <c r="N41" s="10" t="s">
        <v>325</v>
      </c>
      <c r="O41" s="10" t="s">
        <v>326</v>
      </c>
    </row>
    <row r="42" spans="2:15" s="18" customFormat="1" ht="45" x14ac:dyDescent="0.25">
      <c r="B42" s="11">
        <v>3</v>
      </c>
      <c r="C42" s="10" t="s">
        <v>339</v>
      </c>
      <c r="D42" s="19">
        <v>4</v>
      </c>
      <c r="E42" s="17" t="s">
        <v>335</v>
      </c>
      <c r="F42" s="6" t="s">
        <v>350</v>
      </c>
      <c r="G42" s="19">
        <v>11</v>
      </c>
      <c r="H42" s="2" t="s">
        <v>308</v>
      </c>
      <c r="I42" s="18" t="b">
        <v>0</v>
      </c>
      <c r="J42" s="19">
        <v>1</v>
      </c>
      <c r="K42" s="6" t="s">
        <v>23</v>
      </c>
      <c r="L42" s="10" t="s">
        <v>391</v>
      </c>
      <c r="M42" s="2" t="s">
        <v>248</v>
      </c>
      <c r="N42" s="10" t="s">
        <v>322</v>
      </c>
      <c r="O42" s="10"/>
    </row>
    <row r="43" spans="2:15" s="18" customFormat="1" ht="45" x14ac:dyDescent="0.25">
      <c r="B43" s="11">
        <v>3</v>
      </c>
      <c r="C43" s="10" t="s">
        <v>339</v>
      </c>
      <c r="D43" s="19">
        <v>4</v>
      </c>
      <c r="E43" s="17" t="s">
        <v>335</v>
      </c>
      <c r="F43" s="6" t="s">
        <v>350</v>
      </c>
      <c r="G43" s="19">
        <v>11</v>
      </c>
      <c r="H43" s="2" t="s">
        <v>308</v>
      </c>
      <c r="I43" s="18" t="b">
        <v>0</v>
      </c>
      <c r="J43" s="19">
        <v>1</v>
      </c>
      <c r="K43" s="19" t="s">
        <v>25</v>
      </c>
      <c r="L43" s="10" t="s">
        <v>392</v>
      </c>
      <c r="M43" s="2" t="s">
        <v>249</v>
      </c>
      <c r="N43" s="10" t="s">
        <v>323</v>
      </c>
      <c r="O43" s="10"/>
    </row>
    <row r="44" spans="2:15" s="18" customFormat="1" ht="45" x14ac:dyDescent="0.25">
      <c r="B44" s="11">
        <v>3</v>
      </c>
      <c r="C44" s="10" t="s">
        <v>339</v>
      </c>
      <c r="D44" s="19">
        <v>4</v>
      </c>
      <c r="E44" s="17" t="s">
        <v>335</v>
      </c>
      <c r="F44" s="6" t="s">
        <v>350</v>
      </c>
      <c r="G44" s="19">
        <v>11</v>
      </c>
      <c r="H44" s="2" t="s">
        <v>308</v>
      </c>
      <c r="I44" s="18" t="b">
        <v>0</v>
      </c>
      <c r="J44" s="19">
        <v>1</v>
      </c>
      <c r="K44" s="6" t="s">
        <v>31</v>
      </c>
      <c r="L44" s="10" t="s">
        <v>393</v>
      </c>
      <c r="M44" s="8" t="s">
        <v>32</v>
      </c>
      <c r="N44" s="10"/>
      <c r="O44" s="10"/>
    </row>
    <row r="45" spans="2:15" s="18" customFormat="1" ht="45" x14ac:dyDescent="0.25">
      <c r="B45" s="11">
        <v>3</v>
      </c>
      <c r="C45" s="10" t="s">
        <v>339</v>
      </c>
      <c r="D45" s="19">
        <v>4</v>
      </c>
      <c r="E45" s="17" t="s">
        <v>335</v>
      </c>
      <c r="F45" s="6" t="s">
        <v>351</v>
      </c>
      <c r="G45" s="19">
        <v>12</v>
      </c>
      <c r="H45" s="2" t="s">
        <v>310</v>
      </c>
      <c r="I45" s="18" t="b">
        <v>0</v>
      </c>
      <c r="J45" s="19">
        <v>1</v>
      </c>
      <c r="K45" s="6" t="s">
        <v>19</v>
      </c>
      <c r="L45" s="10" t="s">
        <v>394</v>
      </c>
      <c r="M45" s="1" t="s">
        <v>250</v>
      </c>
      <c r="N45" s="10" t="s">
        <v>295</v>
      </c>
      <c r="O45" s="10" t="s">
        <v>328</v>
      </c>
    </row>
    <row r="46" spans="2:15" s="18" customFormat="1" ht="30" x14ac:dyDescent="0.25">
      <c r="B46" s="11">
        <v>3</v>
      </c>
      <c r="C46" s="10" t="s">
        <v>339</v>
      </c>
      <c r="D46" s="19">
        <v>4</v>
      </c>
      <c r="E46" s="17" t="s">
        <v>335</v>
      </c>
      <c r="F46" s="6" t="s">
        <v>351</v>
      </c>
      <c r="G46" s="19">
        <v>12</v>
      </c>
      <c r="H46" s="2" t="s">
        <v>310</v>
      </c>
      <c r="I46" s="18" t="b">
        <v>0</v>
      </c>
      <c r="J46" s="19">
        <v>1</v>
      </c>
      <c r="K46" s="6" t="s">
        <v>21</v>
      </c>
      <c r="L46" s="10" t="s">
        <v>395</v>
      </c>
      <c r="M46" s="1" t="s">
        <v>329</v>
      </c>
      <c r="N46" s="15" t="s">
        <v>296</v>
      </c>
      <c r="O46" s="10" t="s">
        <v>330</v>
      </c>
    </row>
    <row r="47" spans="2:15" s="18" customFormat="1" ht="30" x14ac:dyDescent="0.25">
      <c r="B47" s="11">
        <v>3</v>
      </c>
      <c r="C47" s="10" t="s">
        <v>339</v>
      </c>
      <c r="D47" s="19">
        <v>4</v>
      </c>
      <c r="E47" s="17" t="s">
        <v>335</v>
      </c>
      <c r="F47" s="6" t="s">
        <v>351</v>
      </c>
      <c r="G47" s="19">
        <v>12</v>
      </c>
      <c r="H47" s="2" t="s">
        <v>310</v>
      </c>
      <c r="I47" s="18" t="b">
        <v>0</v>
      </c>
      <c r="J47" s="19">
        <v>1</v>
      </c>
      <c r="K47" s="6" t="s">
        <v>23</v>
      </c>
      <c r="L47" s="10" t="s">
        <v>396</v>
      </c>
      <c r="M47" s="1" t="s">
        <v>251</v>
      </c>
      <c r="N47" s="10" t="s">
        <v>297</v>
      </c>
      <c r="O47" s="10" t="s">
        <v>331</v>
      </c>
    </row>
    <row r="48" spans="2:15" s="18" customFormat="1" ht="45" x14ac:dyDescent="0.25">
      <c r="B48" s="11">
        <v>3</v>
      </c>
      <c r="C48" s="10" t="s">
        <v>339</v>
      </c>
      <c r="D48" s="19">
        <v>4</v>
      </c>
      <c r="E48" s="17" t="s">
        <v>335</v>
      </c>
      <c r="F48" s="6" t="s">
        <v>351</v>
      </c>
      <c r="G48" s="19">
        <v>12</v>
      </c>
      <c r="H48" s="2" t="s">
        <v>310</v>
      </c>
      <c r="I48" s="18" t="b">
        <v>0</v>
      </c>
      <c r="J48" s="19">
        <v>1</v>
      </c>
      <c r="K48" s="19" t="s">
        <v>25</v>
      </c>
      <c r="L48" s="10" t="s">
        <v>397</v>
      </c>
      <c r="M48" s="1" t="s">
        <v>252</v>
      </c>
      <c r="N48" s="10" t="s">
        <v>332</v>
      </c>
      <c r="O48" s="10"/>
    </row>
    <row r="49" spans="2:15" s="18" customFormat="1" ht="45" x14ac:dyDescent="0.25">
      <c r="B49" s="11">
        <v>3</v>
      </c>
      <c r="C49" s="10" t="s">
        <v>339</v>
      </c>
      <c r="D49" s="19">
        <v>4</v>
      </c>
      <c r="E49" s="17" t="s">
        <v>335</v>
      </c>
      <c r="F49" s="6" t="s">
        <v>351</v>
      </c>
      <c r="G49" s="19">
        <v>12</v>
      </c>
      <c r="H49" s="2" t="s">
        <v>310</v>
      </c>
      <c r="I49" s="18" t="b">
        <v>0</v>
      </c>
      <c r="J49" s="19">
        <v>1</v>
      </c>
      <c r="K49" s="6" t="s">
        <v>31</v>
      </c>
      <c r="L49" s="10" t="s">
        <v>398</v>
      </c>
      <c r="M49" s="8" t="s">
        <v>32</v>
      </c>
      <c r="N49" s="10"/>
      <c r="O49" s="10"/>
    </row>
    <row r="50" spans="2:15" s="18" customFormat="1" ht="45" x14ac:dyDescent="0.25">
      <c r="B50" s="11">
        <v>3</v>
      </c>
      <c r="C50" s="10" t="s">
        <v>339</v>
      </c>
      <c r="D50" s="19">
        <v>4</v>
      </c>
      <c r="E50" s="17" t="s">
        <v>335</v>
      </c>
      <c r="F50" s="6" t="s">
        <v>352</v>
      </c>
      <c r="G50" s="19">
        <v>13</v>
      </c>
      <c r="H50" s="2" t="s">
        <v>314</v>
      </c>
      <c r="I50" s="18" t="b">
        <v>0</v>
      </c>
      <c r="J50" s="19">
        <v>1</v>
      </c>
      <c r="K50" s="6" t="s">
        <v>19</v>
      </c>
      <c r="L50" s="10" t="s">
        <v>399</v>
      </c>
      <c r="M50" s="2" t="s">
        <v>253</v>
      </c>
      <c r="N50" s="10" t="s">
        <v>313</v>
      </c>
      <c r="O50" s="10"/>
    </row>
    <row r="51" spans="2:15" s="18" customFormat="1" ht="45" x14ac:dyDescent="0.25">
      <c r="B51" s="11">
        <v>3</v>
      </c>
      <c r="C51" s="10" t="s">
        <v>339</v>
      </c>
      <c r="D51" s="19">
        <v>4</v>
      </c>
      <c r="E51" s="17" t="s">
        <v>335</v>
      </c>
      <c r="F51" s="6" t="s">
        <v>352</v>
      </c>
      <c r="G51" s="19">
        <v>13</v>
      </c>
      <c r="H51" s="2" t="s">
        <v>314</v>
      </c>
      <c r="I51" s="18" t="b">
        <v>0</v>
      </c>
      <c r="J51" s="19">
        <v>1</v>
      </c>
      <c r="K51" s="6" t="s">
        <v>21</v>
      </c>
      <c r="L51" s="10" t="s">
        <v>400</v>
      </c>
      <c r="M51" s="2" t="s">
        <v>254</v>
      </c>
      <c r="N51" s="10" t="s">
        <v>312</v>
      </c>
      <c r="O51" s="10"/>
    </row>
    <row r="52" spans="2:15" s="18" customFormat="1" ht="45" x14ac:dyDescent="0.25">
      <c r="B52" s="11">
        <v>3</v>
      </c>
      <c r="C52" s="10" t="s">
        <v>339</v>
      </c>
      <c r="D52" s="19">
        <v>4</v>
      </c>
      <c r="E52" s="17" t="s">
        <v>335</v>
      </c>
      <c r="F52" s="6" t="s">
        <v>352</v>
      </c>
      <c r="G52" s="19">
        <v>13</v>
      </c>
      <c r="H52" s="2" t="s">
        <v>314</v>
      </c>
      <c r="I52" s="18" t="b">
        <v>0</v>
      </c>
      <c r="J52" s="19">
        <v>1</v>
      </c>
      <c r="K52" s="6" t="s">
        <v>23</v>
      </c>
      <c r="L52" s="10" t="s">
        <v>401</v>
      </c>
      <c r="M52" s="2" t="s">
        <v>255</v>
      </c>
      <c r="N52" s="10" t="s">
        <v>334</v>
      </c>
      <c r="O52" s="10" t="s">
        <v>333</v>
      </c>
    </row>
    <row r="53" spans="2:15" s="18" customFormat="1" ht="30" x14ac:dyDescent="0.25">
      <c r="B53" s="11">
        <v>3</v>
      </c>
      <c r="C53" s="10" t="s">
        <v>339</v>
      </c>
      <c r="D53" s="19">
        <v>4</v>
      </c>
      <c r="E53" s="17" t="s">
        <v>335</v>
      </c>
      <c r="F53" s="6" t="s">
        <v>352</v>
      </c>
      <c r="G53" s="19">
        <v>13</v>
      </c>
      <c r="H53" s="2" t="s">
        <v>314</v>
      </c>
      <c r="I53" s="18" t="b">
        <v>0</v>
      </c>
      <c r="J53" s="19">
        <v>1</v>
      </c>
      <c r="K53" s="19" t="s">
        <v>25</v>
      </c>
      <c r="L53" s="10" t="s">
        <v>402</v>
      </c>
      <c r="M53" s="2" t="s">
        <v>256</v>
      </c>
      <c r="N53" s="10" t="s">
        <v>311</v>
      </c>
      <c r="O53" s="10"/>
    </row>
    <row r="54" spans="2:15" s="18" customFormat="1" ht="45" x14ac:dyDescent="0.25">
      <c r="B54" s="11">
        <v>3</v>
      </c>
      <c r="C54" s="10" t="s">
        <v>339</v>
      </c>
      <c r="D54" s="19">
        <v>4</v>
      </c>
      <c r="E54" s="17" t="s">
        <v>335</v>
      </c>
      <c r="F54" s="6" t="s">
        <v>352</v>
      </c>
      <c r="G54" s="19">
        <v>13</v>
      </c>
      <c r="H54" s="2" t="s">
        <v>314</v>
      </c>
      <c r="I54" s="18" t="b">
        <v>0</v>
      </c>
      <c r="J54" s="19">
        <v>1</v>
      </c>
      <c r="K54" s="6" t="s">
        <v>31</v>
      </c>
      <c r="L54" s="10" t="s">
        <v>403</v>
      </c>
      <c r="M54" s="8" t="s">
        <v>32</v>
      </c>
      <c r="N54" s="10"/>
      <c r="O54" s="10"/>
    </row>
    <row r="55" spans="2:15" s="18" customFormat="1" ht="45" x14ac:dyDescent="0.25">
      <c r="B55" s="11">
        <v>3</v>
      </c>
      <c r="C55" s="10" t="s">
        <v>339</v>
      </c>
      <c r="D55" s="19">
        <v>4</v>
      </c>
      <c r="E55" s="17" t="s">
        <v>335</v>
      </c>
      <c r="F55" s="6" t="s">
        <v>353</v>
      </c>
      <c r="G55" s="19">
        <v>14</v>
      </c>
      <c r="H55" s="2" t="s">
        <v>315</v>
      </c>
      <c r="I55" s="18" t="b">
        <v>0</v>
      </c>
      <c r="J55" s="19">
        <v>1</v>
      </c>
      <c r="K55" s="6" t="s">
        <v>19</v>
      </c>
      <c r="L55" s="10" t="s">
        <v>404</v>
      </c>
      <c r="M55" s="2" t="s">
        <v>257</v>
      </c>
      <c r="N55" s="10" t="s">
        <v>468</v>
      </c>
      <c r="O55" s="10"/>
    </row>
    <row r="56" spans="2:15" s="18" customFormat="1" ht="45" x14ac:dyDescent="0.25">
      <c r="B56" s="11">
        <v>3</v>
      </c>
      <c r="C56" s="10" t="s">
        <v>339</v>
      </c>
      <c r="D56" s="19">
        <v>4</v>
      </c>
      <c r="E56" s="17" t="s">
        <v>335</v>
      </c>
      <c r="F56" s="6" t="s">
        <v>353</v>
      </c>
      <c r="G56" s="19">
        <v>14</v>
      </c>
      <c r="H56" s="2" t="s">
        <v>315</v>
      </c>
      <c r="I56" s="18" t="b">
        <v>0</v>
      </c>
      <c r="J56" s="19">
        <v>1</v>
      </c>
      <c r="K56" s="6" t="s">
        <v>21</v>
      </c>
      <c r="L56" s="10" t="s">
        <v>405</v>
      </c>
      <c r="M56" s="2" t="s">
        <v>258</v>
      </c>
      <c r="N56" s="10" t="s">
        <v>319</v>
      </c>
      <c r="O56" s="10"/>
    </row>
    <row r="57" spans="2:15" s="18" customFormat="1" ht="45" x14ac:dyDescent="0.25">
      <c r="B57" s="11">
        <v>3</v>
      </c>
      <c r="C57" s="10" t="s">
        <v>339</v>
      </c>
      <c r="D57" s="19">
        <v>4</v>
      </c>
      <c r="E57" s="17" t="s">
        <v>335</v>
      </c>
      <c r="F57" s="6" t="s">
        <v>353</v>
      </c>
      <c r="G57" s="19">
        <v>14</v>
      </c>
      <c r="H57" s="2" t="s">
        <v>315</v>
      </c>
      <c r="I57" s="18" t="b">
        <v>0</v>
      </c>
      <c r="J57" s="19">
        <v>1</v>
      </c>
      <c r="K57" s="6" t="s">
        <v>23</v>
      </c>
      <c r="L57" s="10" t="s">
        <v>406</v>
      </c>
      <c r="M57" s="2" t="s">
        <v>259</v>
      </c>
      <c r="N57" s="10" t="s">
        <v>318</v>
      </c>
      <c r="O57" s="10"/>
    </row>
    <row r="58" spans="2:15" s="18" customFormat="1" ht="45" x14ac:dyDescent="0.25">
      <c r="B58" s="11">
        <v>3</v>
      </c>
      <c r="C58" s="10" t="s">
        <v>339</v>
      </c>
      <c r="D58" s="19">
        <v>4</v>
      </c>
      <c r="E58" s="17" t="s">
        <v>335</v>
      </c>
      <c r="F58" s="6" t="s">
        <v>353</v>
      </c>
      <c r="G58" s="19">
        <v>14</v>
      </c>
      <c r="H58" s="2" t="s">
        <v>315</v>
      </c>
      <c r="I58" s="18" t="b">
        <v>0</v>
      </c>
      <c r="J58" s="19">
        <v>1</v>
      </c>
      <c r="K58" s="19" t="s">
        <v>25</v>
      </c>
      <c r="L58" s="10" t="s">
        <v>407</v>
      </c>
      <c r="M58" s="2" t="s">
        <v>260</v>
      </c>
      <c r="N58" s="10" t="s">
        <v>298</v>
      </c>
      <c r="O58" s="10"/>
    </row>
    <row r="59" spans="2:15" s="18" customFormat="1" ht="45" x14ac:dyDescent="0.25">
      <c r="B59" s="11">
        <v>3</v>
      </c>
      <c r="C59" s="10" t="s">
        <v>339</v>
      </c>
      <c r="D59" s="19">
        <v>4</v>
      </c>
      <c r="E59" s="17" t="s">
        <v>335</v>
      </c>
      <c r="F59" s="6" t="s">
        <v>353</v>
      </c>
      <c r="G59" s="19">
        <v>14</v>
      </c>
      <c r="H59" s="2" t="s">
        <v>315</v>
      </c>
      <c r="I59" s="18" t="b">
        <v>0</v>
      </c>
      <c r="J59" s="19">
        <v>1</v>
      </c>
      <c r="K59" s="6" t="s">
        <v>31</v>
      </c>
      <c r="L59" s="10" t="s">
        <v>408</v>
      </c>
      <c r="M59" s="8" t="s">
        <v>32</v>
      </c>
      <c r="N59" s="10"/>
      <c r="O59" s="10"/>
    </row>
    <row r="60" spans="2:15" s="18" customFormat="1" ht="72.75" customHeight="1" x14ac:dyDescent="0.25">
      <c r="B60" s="11">
        <v>3</v>
      </c>
      <c r="C60" s="10" t="s">
        <v>339</v>
      </c>
      <c r="D60" s="19">
        <v>4</v>
      </c>
      <c r="E60" s="17" t="s">
        <v>335</v>
      </c>
      <c r="F60" s="6" t="s">
        <v>435</v>
      </c>
      <c r="G60" s="19">
        <v>15</v>
      </c>
      <c r="H60" s="2" t="s">
        <v>320</v>
      </c>
      <c r="I60" s="18" t="b">
        <v>0</v>
      </c>
      <c r="J60" s="19">
        <v>1</v>
      </c>
      <c r="K60" s="6" t="s">
        <v>19</v>
      </c>
      <c r="L60" s="10" t="s">
        <v>409</v>
      </c>
      <c r="M60" s="2" t="s">
        <v>264</v>
      </c>
      <c r="N60" s="10" t="s">
        <v>316</v>
      </c>
      <c r="O60" s="10"/>
    </row>
    <row r="61" spans="2:15" s="18" customFormat="1" ht="30" x14ac:dyDescent="0.25">
      <c r="B61" s="11">
        <v>3</v>
      </c>
      <c r="C61" s="10" t="s">
        <v>339</v>
      </c>
      <c r="D61" s="19">
        <v>4</v>
      </c>
      <c r="E61" s="17" t="s">
        <v>335</v>
      </c>
      <c r="F61" s="6" t="s">
        <v>435</v>
      </c>
      <c r="G61" s="19">
        <v>15</v>
      </c>
      <c r="H61" s="2" t="s">
        <v>320</v>
      </c>
      <c r="I61" s="18" t="b">
        <v>0</v>
      </c>
      <c r="J61" s="19">
        <v>1</v>
      </c>
      <c r="K61" s="6" t="s">
        <v>21</v>
      </c>
      <c r="L61" s="10" t="s">
        <v>410</v>
      </c>
      <c r="M61" s="2" t="s">
        <v>261</v>
      </c>
      <c r="N61" s="10" t="s">
        <v>299</v>
      </c>
      <c r="O61" s="10"/>
    </row>
    <row r="62" spans="2:15" s="18" customFormat="1" ht="30" x14ac:dyDescent="0.25">
      <c r="B62" s="11">
        <v>3</v>
      </c>
      <c r="C62" s="10" t="s">
        <v>339</v>
      </c>
      <c r="D62" s="19">
        <v>4</v>
      </c>
      <c r="E62" s="17" t="s">
        <v>335</v>
      </c>
      <c r="F62" s="6" t="s">
        <v>435</v>
      </c>
      <c r="G62" s="19">
        <v>15</v>
      </c>
      <c r="H62" s="2" t="s">
        <v>320</v>
      </c>
      <c r="I62" s="18" t="b">
        <v>0</v>
      </c>
      <c r="J62" s="19">
        <v>1</v>
      </c>
      <c r="K62" s="6" t="s">
        <v>23</v>
      </c>
      <c r="L62" s="10" t="s">
        <v>411</v>
      </c>
      <c r="M62" s="2" t="s">
        <v>262</v>
      </c>
      <c r="N62" s="10" t="s">
        <v>317</v>
      </c>
      <c r="O62" s="10"/>
    </row>
    <row r="63" spans="2:15" s="18" customFormat="1" ht="30" x14ac:dyDescent="0.25">
      <c r="B63" s="11">
        <v>3</v>
      </c>
      <c r="C63" s="10" t="s">
        <v>339</v>
      </c>
      <c r="D63" s="19">
        <v>4</v>
      </c>
      <c r="E63" s="17" t="s">
        <v>335</v>
      </c>
      <c r="F63" s="6" t="s">
        <v>435</v>
      </c>
      <c r="G63" s="19">
        <v>15</v>
      </c>
      <c r="H63" s="2" t="s">
        <v>320</v>
      </c>
      <c r="I63" s="18" t="b">
        <v>0</v>
      </c>
      <c r="J63" s="19">
        <v>1</v>
      </c>
      <c r="K63" s="19" t="s">
        <v>25</v>
      </c>
      <c r="L63" s="10" t="s">
        <v>412</v>
      </c>
      <c r="M63" s="2" t="s">
        <v>263</v>
      </c>
      <c r="N63" s="10" t="s">
        <v>321</v>
      </c>
      <c r="O63" s="10"/>
    </row>
    <row r="64" spans="2:15" s="18" customFormat="1" ht="45" x14ac:dyDescent="0.25">
      <c r="B64" s="11">
        <v>3</v>
      </c>
      <c r="C64" s="10" t="s">
        <v>339</v>
      </c>
      <c r="D64" s="19">
        <v>4</v>
      </c>
      <c r="E64" s="17" t="s">
        <v>335</v>
      </c>
      <c r="F64" s="6" t="s">
        <v>435</v>
      </c>
      <c r="G64" s="19">
        <v>15</v>
      </c>
      <c r="H64" s="2" t="s">
        <v>320</v>
      </c>
      <c r="I64" s="18" t="b">
        <v>0</v>
      </c>
      <c r="J64" s="19">
        <v>1</v>
      </c>
      <c r="K64" s="6" t="s">
        <v>31</v>
      </c>
      <c r="L64" s="10" t="s">
        <v>413</v>
      </c>
      <c r="M64" s="8" t="s">
        <v>32</v>
      </c>
      <c r="N64" s="10"/>
      <c r="O64" s="10"/>
    </row>
  </sheetData>
  <autoFilter ref="A1:R64" xr:uid="{02D0B673-FAF0-4E50-B09B-0FBE70F1EBD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F41E3-1840-4497-9E95-4B0A747DB4A3}">
  <dimension ref="A1:R14"/>
  <sheetViews>
    <sheetView workbookViewId="0">
      <pane ySplit="1" topLeftCell="A10" activePane="bottomLeft" state="frozen"/>
      <selection pane="bottomLeft" activeCell="A2" sqref="A2:XFD14"/>
    </sheetView>
  </sheetViews>
  <sheetFormatPr defaultRowHeight="15" x14ac:dyDescent="0.25"/>
  <cols>
    <col min="1" max="2" width="9.140625" style="16"/>
    <col min="3" max="3" width="17.7109375" style="16" customWidth="1"/>
    <col min="4" max="4" width="9.140625" style="11"/>
    <col min="5" max="5" width="12.7109375" style="16" customWidth="1"/>
    <col min="6" max="7" width="9.140625" style="16"/>
    <col min="8" max="8" width="38.42578125" style="14" customWidth="1"/>
    <col min="9" max="9" width="11.85546875" style="11" customWidth="1"/>
    <col min="10" max="10" width="13.85546875" style="11" customWidth="1"/>
    <col min="11" max="11" width="8" style="16" customWidth="1"/>
    <col min="12" max="12" width="15" style="16" customWidth="1"/>
    <col min="13" max="13" width="17.42578125" style="16" customWidth="1"/>
    <col min="14" max="14" width="30.28515625" style="16" customWidth="1"/>
    <col min="15" max="15" width="52.85546875" style="16" customWidth="1"/>
    <col min="16" max="16384" width="9.140625" style="16"/>
  </cols>
  <sheetData>
    <row r="1" spans="1:18" s="3" customFormat="1" ht="45" x14ac:dyDescent="0.25">
      <c r="A1" s="3" t="s">
        <v>0</v>
      </c>
      <c r="B1" s="3" t="s">
        <v>1</v>
      </c>
      <c r="C1" s="3" t="s">
        <v>2</v>
      </c>
      <c r="D1" s="4" t="s">
        <v>3</v>
      </c>
      <c r="E1" s="3" t="s">
        <v>4</v>
      </c>
      <c r="F1" s="4" t="s">
        <v>5</v>
      </c>
      <c r="G1" s="4" t="s">
        <v>6</v>
      </c>
      <c r="H1" s="3" t="s">
        <v>7</v>
      </c>
      <c r="I1" s="4" t="s">
        <v>8</v>
      </c>
      <c r="J1" s="4" t="s">
        <v>9</v>
      </c>
      <c r="K1" s="3" t="s">
        <v>10</v>
      </c>
      <c r="L1" s="3" t="s">
        <v>11</v>
      </c>
      <c r="M1" s="3" t="s">
        <v>12</v>
      </c>
      <c r="N1" s="3" t="s">
        <v>13</v>
      </c>
      <c r="O1" s="3" t="s">
        <v>14</v>
      </c>
      <c r="P1" s="3" t="s">
        <v>15</v>
      </c>
      <c r="Q1" s="3" t="s">
        <v>16</v>
      </c>
      <c r="R1" s="3" t="s">
        <v>17</v>
      </c>
    </row>
    <row r="2" spans="1:18" s="10" customFormat="1" ht="179.25" customHeight="1" x14ac:dyDescent="0.25">
      <c r="B2" s="11">
        <v>4</v>
      </c>
      <c r="C2" s="14" t="s">
        <v>414</v>
      </c>
      <c r="D2" s="11">
        <v>1</v>
      </c>
      <c r="E2" s="10" t="s">
        <v>469</v>
      </c>
      <c r="F2" s="11" t="s">
        <v>415</v>
      </c>
      <c r="G2" s="11">
        <v>1</v>
      </c>
      <c r="H2" s="14" t="s">
        <v>182</v>
      </c>
      <c r="I2" s="10" t="b">
        <v>0</v>
      </c>
      <c r="J2" s="11">
        <v>1</v>
      </c>
      <c r="K2" s="11" t="s">
        <v>19</v>
      </c>
      <c r="L2" s="11" t="s">
        <v>419</v>
      </c>
      <c r="M2" s="14" t="s">
        <v>183</v>
      </c>
      <c r="N2" s="14" t="s">
        <v>184</v>
      </c>
      <c r="O2" s="14" t="s">
        <v>470</v>
      </c>
    </row>
    <row r="3" spans="1:18" s="10" customFormat="1" ht="219.75" customHeight="1" x14ac:dyDescent="0.25">
      <c r="B3" s="11">
        <v>4</v>
      </c>
      <c r="C3" s="14" t="s">
        <v>414</v>
      </c>
      <c r="D3" s="11">
        <v>1</v>
      </c>
      <c r="E3" s="10" t="s">
        <v>469</v>
      </c>
      <c r="F3" s="11" t="s">
        <v>415</v>
      </c>
      <c r="G3" s="11">
        <v>1</v>
      </c>
      <c r="H3" s="14" t="s">
        <v>182</v>
      </c>
      <c r="I3" s="10" t="b">
        <v>0</v>
      </c>
      <c r="J3" s="11">
        <v>1</v>
      </c>
      <c r="K3" s="11" t="s">
        <v>21</v>
      </c>
      <c r="L3" s="11" t="s">
        <v>420</v>
      </c>
      <c r="M3" s="14" t="s">
        <v>144</v>
      </c>
      <c r="N3" s="14" t="s">
        <v>185</v>
      </c>
      <c r="O3" s="14" t="s">
        <v>471</v>
      </c>
    </row>
    <row r="4" spans="1:18" s="10" customFormat="1" ht="133.5" customHeight="1" x14ac:dyDescent="0.25">
      <c r="B4" s="11">
        <v>4</v>
      </c>
      <c r="C4" s="14" t="s">
        <v>414</v>
      </c>
      <c r="D4" s="11">
        <v>1</v>
      </c>
      <c r="E4" s="10" t="s">
        <v>469</v>
      </c>
      <c r="F4" s="11" t="s">
        <v>415</v>
      </c>
      <c r="G4" s="11">
        <v>1</v>
      </c>
      <c r="H4" s="14" t="s">
        <v>182</v>
      </c>
      <c r="I4" s="10" t="b">
        <v>0</v>
      </c>
      <c r="J4" s="11">
        <v>1</v>
      </c>
      <c r="K4" s="11" t="s">
        <v>23</v>
      </c>
      <c r="L4" s="11" t="s">
        <v>421</v>
      </c>
      <c r="M4" s="14" t="s">
        <v>146</v>
      </c>
      <c r="N4" s="14" t="s">
        <v>186</v>
      </c>
      <c r="O4" s="14" t="s">
        <v>472</v>
      </c>
    </row>
    <row r="5" spans="1:18" s="10" customFormat="1" ht="54" customHeight="1" x14ac:dyDescent="0.25">
      <c r="A5" s="14"/>
      <c r="B5" s="11">
        <v>4</v>
      </c>
      <c r="C5" s="14" t="s">
        <v>414</v>
      </c>
      <c r="D5" s="11">
        <v>1</v>
      </c>
      <c r="E5" s="10" t="s">
        <v>469</v>
      </c>
      <c r="F5" s="11" t="s">
        <v>415</v>
      </c>
      <c r="G5" s="11">
        <v>1</v>
      </c>
      <c r="H5" s="14" t="s">
        <v>182</v>
      </c>
      <c r="I5" s="10" t="b">
        <v>0</v>
      </c>
      <c r="J5" s="11">
        <v>1</v>
      </c>
      <c r="K5" s="11" t="s">
        <v>25</v>
      </c>
      <c r="L5" s="11" t="s">
        <v>422</v>
      </c>
      <c r="M5" s="14" t="s">
        <v>187</v>
      </c>
      <c r="N5" s="14" t="s">
        <v>188</v>
      </c>
      <c r="O5" s="14" t="s">
        <v>473</v>
      </c>
    </row>
    <row r="6" spans="1:18" s="8" customFormat="1" ht="45" x14ac:dyDescent="0.25">
      <c r="A6" s="7"/>
      <c r="B6" s="11">
        <v>4</v>
      </c>
      <c r="C6" s="14" t="s">
        <v>414</v>
      </c>
      <c r="D6" s="11">
        <v>1</v>
      </c>
      <c r="E6" s="10" t="s">
        <v>469</v>
      </c>
      <c r="F6" s="11" t="s">
        <v>416</v>
      </c>
      <c r="G6" s="6">
        <v>2</v>
      </c>
      <c r="H6" s="7" t="s">
        <v>189</v>
      </c>
      <c r="I6" s="10" t="b">
        <v>0</v>
      </c>
      <c r="J6" s="11">
        <v>1</v>
      </c>
      <c r="K6" s="6" t="s">
        <v>19</v>
      </c>
      <c r="L6" s="11" t="s">
        <v>423</v>
      </c>
      <c r="M6" s="7" t="s">
        <v>190</v>
      </c>
      <c r="N6" s="7" t="s">
        <v>191</v>
      </c>
      <c r="O6" s="7" t="s">
        <v>474</v>
      </c>
    </row>
    <row r="7" spans="1:18" s="8" customFormat="1" ht="45" x14ac:dyDescent="0.25">
      <c r="B7" s="11">
        <v>4</v>
      </c>
      <c r="C7" s="14" t="s">
        <v>414</v>
      </c>
      <c r="D7" s="11">
        <v>1</v>
      </c>
      <c r="E7" s="10" t="s">
        <v>469</v>
      </c>
      <c r="F7" s="11" t="s">
        <v>416</v>
      </c>
      <c r="G7" s="6">
        <v>2</v>
      </c>
      <c r="H7" s="7" t="s">
        <v>189</v>
      </c>
      <c r="I7" s="10" t="b">
        <v>0</v>
      </c>
      <c r="J7" s="11">
        <v>1</v>
      </c>
      <c r="K7" s="6" t="s">
        <v>21</v>
      </c>
      <c r="L7" s="11" t="s">
        <v>424</v>
      </c>
      <c r="M7" s="7" t="s">
        <v>192</v>
      </c>
      <c r="N7" s="7" t="s">
        <v>193</v>
      </c>
      <c r="O7" s="7" t="s">
        <v>475</v>
      </c>
    </row>
    <row r="8" spans="1:18" s="8" customFormat="1" ht="30" x14ac:dyDescent="0.25">
      <c r="B8" s="11">
        <v>4</v>
      </c>
      <c r="C8" s="14" t="s">
        <v>414</v>
      </c>
      <c r="D8" s="11">
        <v>1</v>
      </c>
      <c r="E8" s="10" t="s">
        <v>469</v>
      </c>
      <c r="F8" s="11" t="s">
        <v>416</v>
      </c>
      <c r="G8" s="6">
        <v>2</v>
      </c>
      <c r="H8" s="7" t="s">
        <v>189</v>
      </c>
      <c r="I8" s="10" t="b">
        <v>0</v>
      </c>
      <c r="J8" s="11">
        <v>1</v>
      </c>
      <c r="K8" s="6" t="s">
        <v>23</v>
      </c>
      <c r="L8" s="11" t="s">
        <v>425</v>
      </c>
      <c r="M8" s="7" t="s">
        <v>194</v>
      </c>
      <c r="N8" s="7" t="s">
        <v>195</v>
      </c>
      <c r="O8" s="7" t="s">
        <v>196</v>
      </c>
    </row>
    <row r="9" spans="1:18" s="10" customFormat="1" ht="210" x14ac:dyDescent="0.25">
      <c r="A9" s="14"/>
      <c r="B9" s="11">
        <v>4</v>
      </c>
      <c r="C9" s="14" t="s">
        <v>414</v>
      </c>
      <c r="D9" s="11">
        <v>2</v>
      </c>
      <c r="E9" s="10" t="s">
        <v>440</v>
      </c>
      <c r="F9" s="11" t="s">
        <v>417</v>
      </c>
      <c r="G9" s="11">
        <v>3</v>
      </c>
      <c r="H9" s="14" t="s">
        <v>432</v>
      </c>
      <c r="I9" s="10" t="b">
        <v>0</v>
      </c>
      <c r="J9" s="11">
        <v>1</v>
      </c>
      <c r="K9" s="11" t="s">
        <v>19</v>
      </c>
      <c r="L9" s="11" t="s">
        <v>426</v>
      </c>
      <c r="M9" s="14" t="s">
        <v>198</v>
      </c>
      <c r="N9" s="14" t="s">
        <v>199</v>
      </c>
      <c r="O9" s="14" t="s">
        <v>200</v>
      </c>
    </row>
    <row r="10" spans="1:18" s="10" customFormat="1" ht="255" x14ac:dyDescent="0.25">
      <c r="A10" s="14"/>
      <c r="B10" s="11">
        <v>4</v>
      </c>
      <c r="C10" s="14" t="s">
        <v>414</v>
      </c>
      <c r="D10" s="11">
        <v>2</v>
      </c>
      <c r="E10" s="10" t="s">
        <v>440</v>
      </c>
      <c r="F10" s="11" t="s">
        <v>417</v>
      </c>
      <c r="G10" s="11">
        <v>3</v>
      </c>
      <c r="H10" s="14" t="s">
        <v>197</v>
      </c>
      <c r="I10" s="10" t="b">
        <v>0</v>
      </c>
      <c r="J10" s="11">
        <v>1</v>
      </c>
      <c r="K10" s="11" t="s">
        <v>21</v>
      </c>
      <c r="L10" s="11" t="s">
        <v>427</v>
      </c>
      <c r="M10" s="14" t="s">
        <v>201</v>
      </c>
      <c r="N10" s="14" t="s">
        <v>202</v>
      </c>
      <c r="O10" s="14" t="s">
        <v>476</v>
      </c>
    </row>
    <row r="11" spans="1:18" s="10" customFormat="1" ht="195" x14ac:dyDescent="0.25">
      <c r="B11" s="11">
        <v>4</v>
      </c>
      <c r="C11" s="14" t="s">
        <v>414</v>
      </c>
      <c r="D11" s="11">
        <v>2</v>
      </c>
      <c r="E11" s="10" t="s">
        <v>440</v>
      </c>
      <c r="F11" s="11" t="s">
        <v>417</v>
      </c>
      <c r="G11" s="11">
        <v>3</v>
      </c>
      <c r="H11" s="14" t="s">
        <v>197</v>
      </c>
      <c r="I11" s="10" t="b">
        <v>0</v>
      </c>
      <c r="J11" s="11">
        <v>1</v>
      </c>
      <c r="K11" s="11" t="s">
        <v>23</v>
      </c>
      <c r="L11" s="11" t="s">
        <v>428</v>
      </c>
      <c r="M11" s="14" t="s">
        <v>203</v>
      </c>
      <c r="N11" s="14" t="s">
        <v>204</v>
      </c>
      <c r="O11" s="14" t="s">
        <v>477</v>
      </c>
    </row>
    <row r="12" spans="1:18" s="10" customFormat="1" ht="30" x14ac:dyDescent="0.25">
      <c r="B12" s="11">
        <v>4</v>
      </c>
      <c r="C12" s="14" t="s">
        <v>414</v>
      </c>
      <c r="D12" s="11">
        <v>2</v>
      </c>
      <c r="E12" s="10" t="s">
        <v>440</v>
      </c>
      <c r="F12" s="11" t="s">
        <v>417</v>
      </c>
      <c r="G12" s="11">
        <v>3</v>
      </c>
      <c r="H12" s="14" t="s">
        <v>197</v>
      </c>
      <c r="I12" s="10" t="b">
        <v>0</v>
      </c>
      <c r="J12" s="11">
        <v>1</v>
      </c>
      <c r="K12" s="11" t="s">
        <v>31</v>
      </c>
      <c r="L12" s="11" t="s">
        <v>429</v>
      </c>
      <c r="M12" s="14" t="s">
        <v>32</v>
      </c>
      <c r="N12" s="14"/>
      <c r="O12" s="14"/>
    </row>
    <row r="13" spans="1:18" s="10" customFormat="1" ht="90" x14ac:dyDescent="0.25">
      <c r="B13" s="11">
        <v>4</v>
      </c>
      <c r="C13" s="14" t="s">
        <v>414</v>
      </c>
      <c r="D13" s="11">
        <v>2</v>
      </c>
      <c r="E13" s="10" t="s">
        <v>440</v>
      </c>
      <c r="F13" s="11" t="s">
        <v>418</v>
      </c>
      <c r="G13" s="11">
        <v>4</v>
      </c>
      <c r="H13" s="14" t="s">
        <v>433</v>
      </c>
      <c r="I13" s="10" t="b">
        <v>0</v>
      </c>
      <c r="J13" s="11">
        <v>1</v>
      </c>
      <c r="K13" s="11" t="s">
        <v>19</v>
      </c>
      <c r="L13" s="11" t="s">
        <v>430</v>
      </c>
      <c r="M13" s="10" t="s">
        <v>206</v>
      </c>
      <c r="N13" s="10" t="s">
        <v>207</v>
      </c>
      <c r="O13" s="10" t="s">
        <v>208</v>
      </c>
    </row>
    <row r="14" spans="1:18" s="10" customFormat="1" ht="120" x14ac:dyDescent="0.25">
      <c r="B14" s="11">
        <v>4</v>
      </c>
      <c r="C14" s="14" t="s">
        <v>414</v>
      </c>
      <c r="D14" s="11">
        <v>2</v>
      </c>
      <c r="E14" s="10" t="s">
        <v>440</v>
      </c>
      <c r="F14" s="11" t="s">
        <v>418</v>
      </c>
      <c r="G14" s="11">
        <v>4</v>
      </c>
      <c r="H14" s="14" t="s">
        <v>205</v>
      </c>
      <c r="I14" s="10" t="b">
        <v>0</v>
      </c>
      <c r="J14" s="11">
        <v>1</v>
      </c>
      <c r="K14" s="11" t="s">
        <v>21</v>
      </c>
      <c r="L14" s="11" t="s">
        <v>431</v>
      </c>
      <c r="M14" s="10" t="s">
        <v>209</v>
      </c>
      <c r="N14" s="10" t="s">
        <v>210</v>
      </c>
      <c r="O14" s="10" t="s">
        <v>211</v>
      </c>
    </row>
  </sheetData>
  <autoFilter ref="A1:R14" xr:uid="{C43F41E3-1840-4497-9E95-4B0A747DB4A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ADF55-3E6C-49C1-9455-749CC9365981}">
  <dimension ref="A1:R21"/>
  <sheetViews>
    <sheetView topLeftCell="A12" workbookViewId="0">
      <selection activeCell="A2" sqref="A2:XFD15"/>
    </sheetView>
  </sheetViews>
  <sheetFormatPr defaultRowHeight="15" x14ac:dyDescent="0.25"/>
  <cols>
    <col min="1" max="1" width="5.85546875" style="10" customWidth="1"/>
    <col min="2" max="2" width="6.42578125" style="10" customWidth="1"/>
    <col min="3" max="3" width="16.85546875" style="10" customWidth="1"/>
    <col min="4" max="4" width="9.140625" style="11"/>
    <col min="5" max="5" width="19.28515625" style="10" customWidth="1"/>
    <col min="6" max="7" width="9.140625" style="10"/>
    <col min="8" max="8" width="27.7109375" style="10" customWidth="1"/>
    <col min="9" max="9" width="9.140625" style="10"/>
    <col min="10" max="10" width="9.140625" style="11"/>
    <col min="11" max="11" width="13.85546875" style="11" customWidth="1"/>
    <col min="12" max="12" width="13.28515625" style="10" customWidth="1"/>
    <col min="13" max="13" width="28.42578125" style="10" customWidth="1"/>
    <col min="14" max="14" width="51.28515625" style="10" customWidth="1"/>
    <col min="15" max="15" width="47.140625" style="10" customWidth="1"/>
    <col min="16" max="16384" width="9.140625" style="10"/>
  </cols>
  <sheetData>
    <row r="1" spans="1:18" s="3" customFormat="1" ht="45" x14ac:dyDescent="0.25">
      <c r="A1" s="3" t="s">
        <v>0</v>
      </c>
      <c r="B1" s="3" t="s">
        <v>1</v>
      </c>
      <c r="C1" s="3" t="s">
        <v>2</v>
      </c>
      <c r="D1" s="4" t="s">
        <v>3</v>
      </c>
      <c r="E1" s="3" t="s">
        <v>4</v>
      </c>
      <c r="F1" s="4" t="s">
        <v>5</v>
      </c>
      <c r="G1" s="4" t="s">
        <v>6</v>
      </c>
      <c r="H1" s="3" t="s">
        <v>7</v>
      </c>
      <c r="I1" s="4" t="s">
        <v>8</v>
      </c>
      <c r="J1" s="4" t="s">
        <v>9</v>
      </c>
      <c r="K1" s="4" t="s">
        <v>10</v>
      </c>
      <c r="L1" s="3" t="s">
        <v>11</v>
      </c>
      <c r="M1" s="3" t="s">
        <v>12</v>
      </c>
      <c r="N1" s="3" t="s">
        <v>13</v>
      </c>
      <c r="O1" s="3" t="s">
        <v>14</v>
      </c>
      <c r="P1" s="3" t="s">
        <v>15</v>
      </c>
      <c r="Q1" s="3" t="s">
        <v>16</v>
      </c>
      <c r="R1" s="3" t="s">
        <v>17</v>
      </c>
    </row>
    <row r="2" spans="1:18" ht="75" x14ac:dyDescent="0.25">
      <c r="A2" s="14"/>
      <c r="B2" s="11">
        <v>5</v>
      </c>
      <c r="C2" s="10" t="s">
        <v>443</v>
      </c>
      <c r="D2" s="11">
        <v>1</v>
      </c>
      <c r="E2" s="10" t="s">
        <v>441</v>
      </c>
      <c r="F2" s="11" t="s">
        <v>478</v>
      </c>
      <c r="G2" s="11">
        <v>1</v>
      </c>
      <c r="H2" s="10" t="s">
        <v>212</v>
      </c>
      <c r="I2" s="10" t="b">
        <v>0</v>
      </c>
      <c r="J2" s="11">
        <v>1</v>
      </c>
      <c r="K2" s="11" t="s">
        <v>19</v>
      </c>
      <c r="L2" s="11" t="s">
        <v>482</v>
      </c>
      <c r="M2" s="14" t="s">
        <v>213</v>
      </c>
      <c r="N2" s="14" t="s">
        <v>496</v>
      </c>
      <c r="O2" s="14" t="s">
        <v>214</v>
      </c>
    </row>
    <row r="3" spans="1:18" ht="120" x14ac:dyDescent="0.25">
      <c r="B3" s="11">
        <v>5</v>
      </c>
      <c r="C3" s="10" t="s">
        <v>443</v>
      </c>
      <c r="D3" s="11">
        <v>1</v>
      </c>
      <c r="E3" s="10" t="s">
        <v>441</v>
      </c>
      <c r="F3" s="11" t="s">
        <v>478</v>
      </c>
      <c r="G3" s="11">
        <v>1</v>
      </c>
      <c r="H3" s="10" t="s">
        <v>212</v>
      </c>
      <c r="I3" s="10" t="b">
        <v>0</v>
      </c>
      <c r="J3" s="11">
        <v>1</v>
      </c>
      <c r="K3" s="11" t="s">
        <v>21</v>
      </c>
      <c r="L3" s="11" t="s">
        <v>483</v>
      </c>
      <c r="M3" s="14" t="s">
        <v>215</v>
      </c>
      <c r="N3" s="14" t="s">
        <v>216</v>
      </c>
      <c r="O3" s="14" t="s">
        <v>497</v>
      </c>
    </row>
    <row r="4" spans="1:18" ht="75" x14ac:dyDescent="0.25">
      <c r="B4" s="11">
        <v>5</v>
      </c>
      <c r="C4" s="10" t="s">
        <v>443</v>
      </c>
      <c r="D4" s="11">
        <v>1</v>
      </c>
      <c r="E4" s="10" t="s">
        <v>441</v>
      </c>
      <c r="F4" s="11" t="s">
        <v>478</v>
      </c>
      <c r="G4" s="11">
        <v>1</v>
      </c>
      <c r="H4" s="10" t="s">
        <v>212</v>
      </c>
      <c r="I4" s="10" t="b">
        <v>0</v>
      </c>
      <c r="J4" s="11">
        <v>1</v>
      </c>
      <c r="K4" s="11" t="s">
        <v>23</v>
      </c>
      <c r="L4" s="11" t="s">
        <v>484</v>
      </c>
      <c r="M4" s="14" t="s">
        <v>217</v>
      </c>
      <c r="N4" s="14" t="s">
        <v>498</v>
      </c>
      <c r="O4" s="14" t="s">
        <v>218</v>
      </c>
    </row>
    <row r="5" spans="1:18" ht="30" x14ac:dyDescent="0.25">
      <c r="B5" s="11">
        <v>5</v>
      </c>
      <c r="C5" s="10" t="s">
        <v>443</v>
      </c>
      <c r="D5" s="11">
        <v>1</v>
      </c>
      <c r="E5" s="10" t="s">
        <v>441</v>
      </c>
      <c r="F5" s="11" t="s">
        <v>478</v>
      </c>
      <c r="G5" s="11">
        <v>1</v>
      </c>
      <c r="H5" s="10" t="s">
        <v>212</v>
      </c>
      <c r="I5" s="10" t="b">
        <v>0</v>
      </c>
      <c r="J5" s="11">
        <v>1</v>
      </c>
      <c r="K5" s="11" t="s">
        <v>31</v>
      </c>
      <c r="L5" s="11" t="s">
        <v>485</v>
      </c>
      <c r="M5" s="14" t="s">
        <v>32</v>
      </c>
      <c r="N5" s="14"/>
      <c r="O5" s="14"/>
    </row>
    <row r="6" spans="1:18" ht="60" x14ac:dyDescent="0.25">
      <c r="A6" s="14"/>
      <c r="B6" s="11">
        <v>5</v>
      </c>
      <c r="C6" s="10" t="s">
        <v>443</v>
      </c>
      <c r="D6" s="11">
        <v>1</v>
      </c>
      <c r="E6" s="10" t="s">
        <v>441</v>
      </c>
      <c r="F6" s="11" t="s">
        <v>479</v>
      </c>
      <c r="G6" s="11">
        <v>2</v>
      </c>
      <c r="H6" s="10" t="s">
        <v>219</v>
      </c>
      <c r="I6" s="10" t="b">
        <v>0</v>
      </c>
      <c r="J6" s="11">
        <v>1</v>
      </c>
      <c r="K6" s="11" t="s">
        <v>19</v>
      </c>
      <c r="L6" s="11" t="s">
        <v>486</v>
      </c>
      <c r="M6" s="14" t="s">
        <v>220</v>
      </c>
      <c r="N6" s="14" t="s">
        <v>221</v>
      </c>
      <c r="O6" s="14" t="s">
        <v>222</v>
      </c>
    </row>
    <row r="7" spans="1:18" ht="75" x14ac:dyDescent="0.25">
      <c r="B7" s="11">
        <v>5</v>
      </c>
      <c r="C7" s="10" t="s">
        <v>443</v>
      </c>
      <c r="D7" s="11">
        <v>1</v>
      </c>
      <c r="E7" s="10" t="s">
        <v>441</v>
      </c>
      <c r="F7" s="11" t="s">
        <v>479</v>
      </c>
      <c r="G7" s="11">
        <v>2</v>
      </c>
      <c r="H7" s="10" t="s">
        <v>219</v>
      </c>
      <c r="I7" s="10" t="b">
        <v>0</v>
      </c>
      <c r="J7" s="11">
        <v>1</v>
      </c>
      <c r="K7" s="11" t="s">
        <v>21</v>
      </c>
      <c r="L7" s="11" t="s">
        <v>487</v>
      </c>
      <c r="M7" s="14" t="s">
        <v>223</v>
      </c>
      <c r="N7" s="14" t="s">
        <v>224</v>
      </c>
      <c r="O7" s="14" t="s">
        <v>225</v>
      </c>
    </row>
    <row r="8" spans="1:18" ht="165" x14ac:dyDescent="0.25">
      <c r="B8" s="11">
        <v>5</v>
      </c>
      <c r="C8" s="10" t="s">
        <v>443</v>
      </c>
      <c r="D8" s="11">
        <v>1</v>
      </c>
      <c r="E8" s="10" t="s">
        <v>441</v>
      </c>
      <c r="F8" s="11" t="s">
        <v>479</v>
      </c>
      <c r="G8" s="11">
        <v>2</v>
      </c>
      <c r="H8" s="10" t="s">
        <v>219</v>
      </c>
      <c r="I8" s="10" t="b">
        <v>0</v>
      </c>
      <c r="J8" s="11">
        <v>1</v>
      </c>
      <c r="K8" s="11" t="s">
        <v>23</v>
      </c>
      <c r="L8" s="11" t="s">
        <v>488</v>
      </c>
      <c r="M8" s="14" t="s">
        <v>226</v>
      </c>
      <c r="N8" s="14" t="s">
        <v>227</v>
      </c>
      <c r="O8" s="14" t="s">
        <v>499</v>
      </c>
    </row>
    <row r="9" spans="1:18" ht="75" x14ac:dyDescent="0.25">
      <c r="A9" s="14"/>
      <c r="B9" s="11">
        <v>5</v>
      </c>
      <c r="C9" s="10" t="s">
        <v>443</v>
      </c>
      <c r="D9" s="11">
        <v>2</v>
      </c>
      <c r="E9" s="10" t="s">
        <v>442</v>
      </c>
      <c r="F9" s="11" t="s">
        <v>480</v>
      </c>
      <c r="G9" s="11">
        <v>3</v>
      </c>
      <c r="H9" s="10" t="s">
        <v>228</v>
      </c>
      <c r="I9" s="10" t="b">
        <v>0</v>
      </c>
      <c r="J9" s="11">
        <v>1</v>
      </c>
      <c r="K9" s="11" t="s">
        <v>19</v>
      </c>
      <c r="L9" s="11" t="s">
        <v>489</v>
      </c>
      <c r="M9" s="14" t="s">
        <v>229</v>
      </c>
      <c r="N9" s="14" t="s">
        <v>230</v>
      </c>
      <c r="O9" s="14" t="s">
        <v>231</v>
      </c>
    </row>
    <row r="10" spans="1:18" ht="225" x14ac:dyDescent="0.25">
      <c r="A10" s="14"/>
      <c r="B10" s="11">
        <v>5</v>
      </c>
      <c r="C10" s="10" t="s">
        <v>443</v>
      </c>
      <c r="D10" s="11">
        <v>2</v>
      </c>
      <c r="E10" s="10" t="s">
        <v>442</v>
      </c>
      <c r="F10" s="11" t="s">
        <v>480</v>
      </c>
      <c r="G10" s="11">
        <v>3</v>
      </c>
      <c r="H10" s="10" t="s">
        <v>228</v>
      </c>
      <c r="I10" s="10" t="b">
        <v>0</v>
      </c>
      <c r="J10" s="11">
        <v>1</v>
      </c>
      <c r="K10" s="11" t="s">
        <v>21</v>
      </c>
      <c r="L10" s="11" t="s">
        <v>490</v>
      </c>
      <c r="M10" s="14" t="s">
        <v>232</v>
      </c>
      <c r="N10" s="14" t="s">
        <v>500</v>
      </c>
      <c r="O10" s="14" t="s">
        <v>501</v>
      </c>
    </row>
    <row r="11" spans="1:18" ht="90" x14ac:dyDescent="0.25">
      <c r="B11" s="11">
        <v>5</v>
      </c>
      <c r="C11" s="10" t="s">
        <v>443</v>
      </c>
      <c r="D11" s="11">
        <v>2</v>
      </c>
      <c r="E11" s="10" t="s">
        <v>442</v>
      </c>
      <c r="F11" s="11" t="s">
        <v>481</v>
      </c>
      <c r="G11" s="11">
        <v>4</v>
      </c>
      <c r="H11" s="10" t="s">
        <v>245</v>
      </c>
      <c r="I11" s="10" t="b">
        <v>0</v>
      </c>
      <c r="J11" s="11">
        <v>1</v>
      </c>
      <c r="K11" s="11" t="s">
        <v>19</v>
      </c>
      <c r="L11" s="11" t="s">
        <v>491</v>
      </c>
      <c r="M11" s="14" t="s">
        <v>233</v>
      </c>
      <c r="N11" s="14" t="s">
        <v>234</v>
      </c>
      <c r="O11" s="14" t="s">
        <v>235</v>
      </c>
    </row>
    <row r="12" spans="1:18" ht="180" x14ac:dyDescent="0.25">
      <c r="B12" s="11">
        <v>5</v>
      </c>
      <c r="C12" s="10" t="s">
        <v>443</v>
      </c>
      <c r="D12" s="11">
        <v>2</v>
      </c>
      <c r="E12" s="10" t="s">
        <v>442</v>
      </c>
      <c r="F12" s="11" t="s">
        <v>481</v>
      </c>
      <c r="G12" s="11">
        <v>4</v>
      </c>
      <c r="H12" s="10" t="s">
        <v>245</v>
      </c>
      <c r="I12" s="10" t="b">
        <v>0</v>
      </c>
      <c r="J12" s="11">
        <v>1</v>
      </c>
      <c r="K12" s="11" t="s">
        <v>21</v>
      </c>
      <c r="L12" s="11" t="s">
        <v>492</v>
      </c>
      <c r="M12" s="14" t="s">
        <v>236</v>
      </c>
      <c r="N12" s="14" t="s">
        <v>237</v>
      </c>
      <c r="O12" s="14" t="s">
        <v>238</v>
      </c>
    </row>
    <row r="13" spans="1:18" ht="90" x14ac:dyDescent="0.25">
      <c r="B13" s="11">
        <v>5</v>
      </c>
      <c r="C13" s="10" t="s">
        <v>443</v>
      </c>
      <c r="D13" s="11">
        <v>2</v>
      </c>
      <c r="E13" s="10" t="s">
        <v>442</v>
      </c>
      <c r="F13" s="11" t="s">
        <v>481</v>
      </c>
      <c r="G13" s="11">
        <v>4</v>
      </c>
      <c r="H13" s="10" t="s">
        <v>245</v>
      </c>
      <c r="I13" s="10" t="b">
        <v>0</v>
      </c>
      <c r="J13" s="11">
        <v>1</v>
      </c>
      <c r="K13" s="11" t="s">
        <v>23</v>
      </c>
      <c r="L13" s="11" t="s">
        <v>493</v>
      </c>
      <c r="M13" s="14" t="s">
        <v>239</v>
      </c>
      <c r="N13" s="14" t="s">
        <v>240</v>
      </c>
      <c r="O13" s="14" t="s">
        <v>241</v>
      </c>
    </row>
    <row r="14" spans="1:18" ht="135" x14ac:dyDescent="0.25">
      <c r="A14" s="14"/>
      <c r="B14" s="11">
        <v>5</v>
      </c>
      <c r="C14" s="10" t="s">
        <v>443</v>
      </c>
      <c r="D14" s="11">
        <v>2</v>
      </c>
      <c r="E14" s="10" t="s">
        <v>442</v>
      </c>
      <c r="F14" s="11" t="s">
        <v>481</v>
      </c>
      <c r="G14" s="11">
        <v>4</v>
      </c>
      <c r="H14" s="10" t="s">
        <v>245</v>
      </c>
      <c r="I14" s="10" t="b">
        <v>0</v>
      </c>
      <c r="J14" s="11">
        <v>1</v>
      </c>
      <c r="K14" s="11" t="s">
        <v>25</v>
      </c>
      <c r="L14" s="11" t="s">
        <v>494</v>
      </c>
      <c r="M14" s="14" t="s">
        <v>242</v>
      </c>
      <c r="N14" s="14" t="s">
        <v>243</v>
      </c>
      <c r="O14" s="14" t="s">
        <v>244</v>
      </c>
    </row>
    <row r="15" spans="1:18" ht="30" x14ac:dyDescent="0.25">
      <c r="A15" s="14"/>
      <c r="B15" s="11">
        <v>5</v>
      </c>
      <c r="C15" s="10" t="s">
        <v>443</v>
      </c>
      <c r="D15" s="11">
        <v>2</v>
      </c>
      <c r="E15" s="10" t="s">
        <v>442</v>
      </c>
      <c r="F15" s="11" t="s">
        <v>481</v>
      </c>
      <c r="G15" s="11">
        <v>4</v>
      </c>
      <c r="H15" s="10" t="s">
        <v>245</v>
      </c>
      <c r="I15" s="10" t="b">
        <v>0</v>
      </c>
      <c r="J15" s="11">
        <v>1</v>
      </c>
      <c r="K15" s="11" t="s">
        <v>31</v>
      </c>
      <c r="L15" s="11" t="s">
        <v>495</v>
      </c>
      <c r="M15" s="10" t="s">
        <v>32</v>
      </c>
    </row>
    <row r="18" spans="1:1" x14ac:dyDescent="0.25">
      <c r="A18" s="14"/>
    </row>
    <row r="19" spans="1:1" x14ac:dyDescent="0.25">
      <c r="A19" s="14"/>
    </row>
    <row r="21" spans="1:1" x14ac:dyDescent="0.25">
      <c r="A21" s="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options</vt:lpstr>
      <vt:lpstr>1. 成功与人生目标</vt:lpstr>
      <vt:lpstr>2. 心理健康趋势</vt:lpstr>
      <vt:lpstr>3. 亲子沟通</vt:lpstr>
      <vt:lpstr>4. 了解与面对歧视</vt:lpstr>
      <vt:lpstr>5. 父母的幸福感与自我认识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 Yin</dc:creator>
  <cp:lastModifiedBy>Yin Yin</cp:lastModifiedBy>
  <dcterms:created xsi:type="dcterms:W3CDTF">2025-12-31T14:17:35Z</dcterms:created>
  <dcterms:modified xsi:type="dcterms:W3CDTF">2026-01-02T21:25:11Z</dcterms:modified>
</cp:coreProperties>
</file>